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onteyor-my.sharepoint.com/personal/dimitri_saerens_conteyor_com/Documents/Desktop/Storeganizer/"/>
    </mc:Choice>
  </mc:AlternateContent>
  <xr:revisionPtr revIDLastSave="129" documentId="14_{BA70D62E-5C6A-427B-95A9-21729F43BBBA}" xr6:coauthVersionLast="47" xr6:coauthVersionMax="47" xr10:uidLastSave="{B5E255DA-941D-4B3A-BDE0-9028BCA9B0C1}"/>
  <bookViews>
    <workbookView xWindow="-110" yWindow="-110" windowWidth="19420" windowHeight="11500" xr2:uid="{78A63CE3-BA55-4A60-B341-15DDE2DD120C}"/>
  </bookViews>
  <sheets>
    <sheet name="ROI and NPV analsyis" sheetId="1" r:id="rId1"/>
    <sheet name="Calculation" sheetId="3" state="hidden" r:id="rId2"/>
    <sheet name="Input" sheetId="2" state="hidden" r:id="rId3"/>
  </sheets>
  <definedNames>
    <definedName name="NPV">OFFSET(Calculation!$R$4,,,COUNTIF(Calculation!$R$4:$R$13,"&lt;&gt;"))</definedName>
    <definedName name="Saving">OFFSET(Calculation!$Q$4,,,COUNTIF(Calculation!$Q$4:$Q$13,"&lt;&gt;"))</definedName>
    <definedName name="Year">OFFSET(Calculation!$P$4,,,COUNTIF(Calculation!$P$4:$P$13,"&lt;&gt;"))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8" i="1" l="1"/>
  <c r="C18" i="1"/>
  <c r="G18" i="1" l="1"/>
  <c r="B25" i="1"/>
  <c r="B24" i="1"/>
  <c r="O2" i="3" l="1"/>
  <c r="P13" i="3" l="1"/>
  <c r="P10" i="3"/>
  <c r="P5" i="3"/>
  <c r="P6" i="3"/>
  <c r="P7" i="3"/>
  <c r="P11" i="3"/>
  <c r="P4" i="3"/>
  <c r="P8" i="3"/>
  <c r="P12" i="3"/>
  <c r="P9" i="3"/>
  <c r="C11" i="3"/>
  <c r="D11" i="3"/>
  <c r="E11" i="3" l="1"/>
  <c r="F11" i="3"/>
  <c r="G11" i="3"/>
  <c r="H11" i="3"/>
  <c r="I11" i="3"/>
  <c r="J11" i="3"/>
  <c r="K11" i="3"/>
  <c r="L11" i="3"/>
  <c r="B12" i="3"/>
  <c r="N17" i="1"/>
  <c r="V8" i="1"/>
  <c r="B5" i="3"/>
  <c r="V7" i="1"/>
  <c r="F31" i="1"/>
  <c r="D29" i="1"/>
  <c r="M27" i="1"/>
  <c r="P16" i="1"/>
  <c r="N16" i="1"/>
  <c r="O17" i="1"/>
  <c r="M17" i="1"/>
  <c r="O18" i="1"/>
  <c r="M18" i="1"/>
  <c r="J9" i="1"/>
  <c r="D28" i="1"/>
  <c r="D27" i="1"/>
  <c r="N18" i="1" l="1"/>
  <c r="P17" i="1"/>
  <c r="P27" i="1" s="1"/>
  <c r="B11" i="3"/>
  <c r="C13" i="3" s="1"/>
  <c r="C14" i="3" s="1"/>
  <c r="B6" i="3"/>
  <c r="B7" i="3" s="1"/>
  <c r="Q17" i="1" l="1"/>
  <c r="P18" i="1"/>
  <c r="D13" i="3"/>
  <c r="E13" i="3" s="1"/>
  <c r="D14" i="3" l="1"/>
  <c r="E14" i="3"/>
  <c r="F13" i="3"/>
  <c r="F14" i="3" l="1"/>
  <c r="G13" i="3"/>
  <c r="H13" i="3" l="1"/>
  <c r="G14" i="3"/>
  <c r="H14" i="3" l="1"/>
  <c r="I13" i="3"/>
  <c r="J13" i="3" l="1"/>
  <c r="I14" i="3"/>
  <c r="K13" i="3" l="1"/>
  <c r="J14" i="3"/>
  <c r="L13" i="3" l="1"/>
  <c r="L14" i="3" s="1"/>
  <c r="K14" i="3"/>
  <c r="E15" i="1"/>
  <c r="C15" i="1"/>
  <c r="C9" i="1"/>
  <c r="E16" i="1" s="1"/>
  <c r="A9" i="1"/>
  <c r="A16" i="1" s="1"/>
  <c r="D8" i="1"/>
  <c r="A18" i="1" s="1"/>
  <c r="D7" i="1"/>
  <c r="E25" i="1" l="1"/>
  <c r="E27" i="1"/>
  <c r="S40" i="1" s="1"/>
  <c r="C25" i="1"/>
  <c r="E24" i="1"/>
  <c r="C24" i="1"/>
  <c r="E28" i="1"/>
  <c r="C16" i="1"/>
  <c r="A21" i="1"/>
  <c r="A20" i="1"/>
  <c r="G16" i="1" l="1"/>
  <c r="E29" i="1"/>
  <c r="W7" i="1" s="1"/>
  <c r="E23" i="3" l="1"/>
  <c r="K25" i="3"/>
  <c r="G29" i="3"/>
  <c r="C33" i="3"/>
  <c r="J21" i="3"/>
  <c r="F29" i="3"/>
  <c r="J23" i="3"/>
  <c r="F27" i="3"/>
  <c r="L29" i="3"/>
  <c r="H33" i="3"/>
  <c r="L23" i="3"/>
  <c r="E21" i="3"/>
  <c r="E25" i="3"/>
  <c r="K27" i="3"/>
  <c r="G31" i="3"/>
  <c r="D21" i="3"/>
  <c r="J25" i="3"/>
  <c r="J33" i="3"/>
  <c r="I31" i="3"/>
  <c r="L25" i="3"/>
  <c r="D33" i="3"/>
  <c r="K23" i="3"/>
  <c r="I33" i="3"/>
  <c r="I23" i="3"/>
  <c r="E27" i="3"/>
  <c r="K29" i="3"/>
  <c r="G33" i="3"/>
  <c r="H23" i="3"/>
  <c r="H31" i="3"/>
  <c r="D25" i="3"/>
  <c r="J27" i="3"/>
  <c r="F31" i="3"/>
  <c r="L33" i="3"/>
  <c r="D27" i="3"/>
  <c r="C23" i="3"/>
  <c r="I25" i="3"/>
  <c r="E29" i="3"/>
  <c r="K31" i="3"/>
  <c r="H21" i="3"/>
  <c r="H27" i="3"/>
  <c r="C21" i="3"/>
  <c r="C29" i="3"/>
  <c r="L27" i="3"/>
  <c r="K21" i="3"/>
  <c r="G27" i="3"/>
  <c r="D23" i="3"/>
  <c r="C25" i="3"/>
  <c r="I27" i="3"/>
  <c r="E31" i="3"/>
  <c r="K33" i="3"/>
  <c r="F25" i="3"/>
  <c r="I21" i="3"/>
  <c r="H25" i="3"/>
  <c r="D29" i="3"/>
  <c r="J31" i="3"/>
  <c r="G21" i="3"/>
  <c r="D31" i="3"/>
  <c r="G23" i="3"/>
  <c r="C27" i="3"/>
  <c r="I29" i="3"/>
  <c r="E33" i="3"/>
  <c r="L21" i="3"/>
  <c r="J29" i="3"/>
  <c r="G25" i="3"/>
  <c r="F21" i="3"/>
  <c r="F23" i="3"/>
  <c r="H29" i="3"/>
  <c r="F33" i="3"/>
  <c r="C31" i="3"/>
  <c r="L31" i="3"/>
  <c r="C5" i="3"/>
  <c r="Q4" i="3" s="1"/>
  <c r="G5" i="3"/>
  <c r="Q8" i="3" s="1"/>
  <c r="K5" i="3"/>
  <c r="D5" i="3"/>
  <c r="Q5" i="3" s="1"/>
  <c r="H5" i="3"/>
  <c r="Q9" i="3" s="1"/>
  <c r="L5" i="3"/>
  <c r="I5" i="3"/>
  <c r="J5" i="3"/>
  <c r="E5" i="3"/>
  <c r="Q6" i="3" s="1"/>
  <c r="F5" i="3"/>
  <c r="Q7" i="3" s="1"/>
  <c r="W10" i="1"/>
  <c r="K6" i="3" l="1"/>
  <c r="Q12" i="3"/>
  <c r="L6" i="3"/>
  <c r="Q13" i="3"/>
  <c r="J6" i="3"/>
  <c r="Q11" i="3"/>
  <c r="I6" i="3"/>
  <c r="Q10" i="3"/>
  <c r="H6" i="3"/>
  <c r="F6" i="3"/>
  <c r="D30" i="3"/>
  <c r="J30" i="3"/>
  <c r="L30" i="3"/>
  <c r="H30" i="3"/>
  <c r="C30" i="3"/>
  <c r="K30" i="3"/>
  <c r="E30" i="3"/>
  <c r="G30" i="3"/>
  <c r="I30" i="3"/>
  <c r="F30" i="3"/>
  <c r="C28" i="3"/>
  <c r="D28" i="3"/>
  <c r="K28" i="3"/>
  <c r="F28" i="3"/>
  <c r="H28" i="3"/>
  <c r="E28" i="3"/>
  <c r="J28" i="3"/>
  <c r="G28" i="3"/>
  <c r="L28" i="3"/>
  <c r="I28" i="3"/>
  <c r="F32" i="3"/>
  <c r="H32" i="3"/>
  <c r="E32" i="3"/>
  <c r="D32" i="3"/>
  <c r="J32" i="3"/>
  <c r="G32" i="3"/>
  <c r="L32" i="3"/>
  <c r="I32" i="3"/>
  <c r="K32" i="3"/>
  <c r="C32" i="3"/>
  <c r="C22" i="3"/>
  <c r="F22" i="3"/>
  <c r="H22" i="3"/>
  <c r="G22" i="3"/>
  <c r="E22" i="3"/>
  <c r="J22" i="3"/>
  <c r="K22" i="3"/>
  <c r="L22" i="3"/>
  <c r="I22" i="3"/>
  <c r="D22" i="3"/>
  <c r="H26" i="3"/>
  <c r="E26" i="3"/>
  <c r="J26" i="3"/>
  <c r="F26" i="3"/>
  <c r="L26" i="3"/>
  <c r="I26" i="3"/>
  <c r="D26" i="3"/>
  <c r="C26" i="3"/>
  <c r="K26" i="3"/>
  <c r="G26" i="3"/>
  <c r="I24" i="3"/>
  <c r="K24" i="3"/>
  <c r="E24" i="3"/>
  <c r="J24" i="3"/>
  <c r="D24" i="3"/>
  <c r="C24" i="3"/>
  <c r="G24" i="3"/>
  <c r="F24" i="3"/>
  <c r="H24" i="3"/>
  <c r="L24" i="3"/>
  <c r="C34" i="3"/>
  <c r="L34" i="3"/>
  <c r="D34" i="3"/>
  <c r="F34" i="3"/>
  <c r="I34" i="3"/>
  <c r="K34" i="3"/>
  <c r="H34" i="3"/>
  <c r="E34" i="3"/>
  <c r="J34" i="3"/>
  <c r="G34" i="3"/>
  <c r="G6" i="3"/>
  <c r="D6" i="3"/>
  <c r="E6" i="3"/>
  <c r="C6" i="3"/>
  <c r="G8" i="3"/>
  <c r="R8" i="3" s="1"/>
  <c r="E8" i="3"/>
  <c r="R6" i="3" s="1"/>
  <c r="C8" i="3"/>
  <c r="R4" i="3" s="1"/>
  <c r="J8" i="3"/>
  <c r="R11" i="3" s="1"/>
  <c r="D8" i="3"/>
  <c r="R5" i="3" s="1"/>
  <c r="L8" i="3"/>
  <c r="R13" i="3" s="1"/>
  <c r="H8" i="3"/>
  <c r="R9" i="3" s="1"/>
  <c r="I8" i="3"/>
  <c r="R10" i="3" s="1"/>
  <c r="F8" i="3"/>
  <c r="R7" i="3" s="1"/>
  <c r="K8" i="3"/>
  <c r="R12" i="3" s="1"/>
  <c r="G7" i="3" l="1"/>
  <c r="J7" i="3"/>
  <c r="K7" i="3"/>
  <c r="I7" i="3"/>
  <c r="H7" i="3"/>
  <c r="E7" i="3"/>
  <c r="D7" i="3"/>
  <c r="F7" i="3"/>
  <c r="L7" i="3"/>
  <c r="C7" i="3"/>
  <c r="W9" i="1"/>
  <c r="W8" i="1"/>
</calcChain>
</file>

<file path=xl/sharedStrings.xml><?xml version="1.0" encoding="utf-8"?>
<sst xmlns="http://schemas.openxmlformats.org/spreadsheetml/2006/main" count="66" uniqueCount="57">
  <si>
    <t>Metric</t>
  </si>
  <si>
    <t>Imperial</t>
  </si>
  <si>
    <t>m²</t>
  </si>
  <si>
    <t>ft²</t>
  </si>
  <si>
    <t>m</t>
  </si>
  <si>
    <t>ft</t>
  </si>
  <si>
    <t>m³</t>
  </si>
  <si>
    <t>ft³</t>
  </si>
  <si>
    <t>€</t>
  </si>
  <si>
    <t>$</t>
  </si>
  <si>
    <t>£</t>
  </si>
  <si>
    <t>1. Measure</t>
  </si>
  <si>
    <t>2. Currency</t>
  </si>
  <si>
    <t>3. Rack width</t>
  </si>
  <si>
    <t>4. Rack depth</t>
  </si>
  <si>
    <t>5. # Racks</t>
  </si>
  <si>
    <t>4. # Loc/rack</t>
  </si>
  <si>
    <t>When using SG</t>
  </si>
  <si>
    <t>Total locations</t>
  </si>
  <si>
    <t>Annual space saving</t>
  </si>
  <si>
    <t>Annual utility saving</t>
  </si>
  <si>
    <t>9. # staff members</t>
  </si>
  <si>
    <t>11. Efficiency Increase %</t>
  </si>
  <si>
    <t>%</t>
  </si>
  <si>
    <t>Cost per pick</t>
  </si>
  <si>
    <t>Annual staff cost</t>
  </si>
  <si>
    <t>Annual labour saving</t>
  </si>
  <si>
    <t>12. Total Storeganizer investment</t>
  </si>
  <si>
    <t>Space</t>
  </si>
  <si>
    <t>Labour &amp; Efficiency</t>
  </si>
  <si>
    <t>years</t>
  </si>
  <si>
    <t>13. Investment horizon in years</t>
  </si>
  <si>
    <t>Annual Saving</t>
  </si>
  <si>
    <t>ROI</t>
  </si>
  <si>
    <t>WACC</t>
  </si>
  <si>
    <t>Year</t>
  </si>
  <si>
    <t>Saving</t>
  </si>
  <si>
    <t>Discounted to year 0</t>
  </si>
  <si>
    <t>Payback term</t>
  </si>
  <si>
    <t>Amortization</t>
  </si>
  <si>
    <t>Yearly amoriztation</t>
  </si>
  <si>
    <t>Investment</t>
  </si>
  <si>
    <t>Net Present Value</t>
  </si>
  <si>
    <t>Inflation</t>
  </si>
  <si>
    <t>Cumulative cashfflow</t>
  </si>
  <si>
    <t>NPV</t>
  </si>
  <si>
    <t>Outstanding value</t>
  </si>
  <si>
    <t>Annual space cost</t>
  </si>
  <si>
    <t>Annual utility cost</t>
  </si>
  <si>
    <t>Before/current</t>
  </si>
  <si>
    <t>Fill in the cells bordered in blue</t>
  </si>
  <si>
    <t>Annual picks *</t>
  </si>
  <si>
    <t>8. Picks per hour / person</t>
  </si>
  <si>
    <t>* annual picks is calculated as picks per hour * # staff members * 8 working hours/day * 260 workingsdays a year at a 80% worktime spending</t>
  </si>
  <si>
    <t>Additional comment section</t>
  </si>
  <si>
    <t>💡 Chalhoub had a 30% efficiency increase (click on the link to view)</t>
  </si>
  <si>
    <t>NPV stands for net present value and is a discounts back the future cashflows(savings) to year 0 (=today). As assumptions we took an yearly growth rate of 1% and a WACC (interest rate) of  7,6%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</si>
</sst>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€&quot;#,##0.00;[Red]\-&quot;€&quot;#,##0.00"/>
    <numFmt numFmtId="165" formatCode="0.0%"/>
    <numFmt numFmtId="166" formatCode="#\ ##0;\-#\ ##0"/>
    <numFmt numFmtId="167" formatCode="#\ ##0;[Red]\-#\ ##0"/>
  </numFmts>
  <fonts count="16">
    <font>
      <sz val="11"/>
      <color theme="1"/>
      <name val="Calibri"/>
      <family val="2"/>
      <scheme val="minor"/>
    </font>
    <font>
      <sz val="11"/>
      <color theme="1"/>
      <name val="Averta-Bold"/>
      <family val="3"/>
    </font>
    <font>
      <b/>
      <u/>
      <sz val="10"/>
      <color theme="1"/>
      <name val="Averta-Bold"/>
      <family val="3"/>
    </font>
    <font>
      <sz val="10"/>
      <color theme="1"/>
      <name val="Averta-Bold"/>
      <family val="3"/>
    </font>
    <font>
      <b/>
      <sz val="10"/>
      <color theme="1"/>
      <name val="Averta-Bold"/>
      <family val="3"/>
    </font>
    <font>
      <i/>
      <sz val="10"/>
      <color theme="1"/>
      <name val="Averta-Bold"/>
      <family val="3"/>
    </font>
    <font>
      <sz val="11"/>
      <color rgb="FF0000CC"/>
      <name val="Averta-Bold"/>
      <family val="3"/>
    </font>
    <font>
      <sz val="10"/>
      <color rgb="FF0000CC"/>
      <name val="Averta-Bold"/>
      <family val="3"/>
    </font>
    <font>
      <sz val="11"/>
      <color theme="1"/>
      <name val="Calibri"/>
      <family val="2"/>
      <scheme val="minor"/>
    </font>
    <font>
      <u/>
      <sz val="14"/>
      <color theme="1"/>
      <name val="Averta-Bold"/>
      <family val="3"/>
    </font>
    <font>
      <sz val="10"/>
      <color rgb="FF00CC66"/>
      <name val="Averta-Bold"/>
      <family val="3"/>
    </font>
    <font>
      <sz val="11"/>
      <color rgb="FF0000CC"/>
      <name val="Averta-Extrabold"/>
      <family val="3"/>
    </font>
    <font>
      <b/>
      <sz val="10"/>
      <color theme="1"/>
      <name val="Averta Demo"/>
      <family val="3"/>
    </font>
    <font>
      <sz val="8"/>
      <color theme="1"/>
      <name val="Averta-Bold"/>
      <family val="3"/>
    </font>
    <font>
      <u/>
      <sz val="11"/>
      <color theme="10"/>
      <name val="Calibri"/>
      <family val="2"/>
      <scheme val="minor"/>
    </font>
    <font>
      <u/>
      <sz val="10"/>
      <color theme="10"/>
      <name val="Averta-Extrabold"/>
      <family val="3"/>
    </font>
  </fonts>
  <fills count="3">
    <fill>
      <patternFill patternType="none"/>
    </fill>
    <fill>
      <patternFill patternType="gray125"/>
    </fill>
    <fill>
      <patternFill patternType="solid">
        <fgColor rgb="FF68625D"/>
        <bgColor indexed="64"/>
      </patternFill>
    </fill>
  </fills>
  <borders count="15">
    <border>
      <left/>
      <right/>
      <top/>
      <bottom/>
      <diagonal/>
    </border>
    <border>
      <left style="thin">
        <color rgb="FF0000CC"/>
      </left>
      <right style="thin">
        <color rgb="FF0000CC"/>
      </right>
      <top style="thin">
        <color rgb="FF0000CC"/>
      </top>
      <bottom style="thin">
        <color rgb="FF0000CC"/>
      </bottom>
      <diagonal/>
    </border>
    <border>
      <left/>
      <right/>
      <top style="thin">
        <color rgb="FF0000CC"/>
      </top>
      <bottom/>
      <diagonal/>
    </border>
    <border>
      <left/>
      <right/>
      <top style="thin">
        <color rgb="FF0000CC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99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Protection="1">
      <protection locked="0"/>
    </xf>
    <xf numFmtId="0" fontId="5" fillId="0" borderId="0" xfId="0" applyFont="1"/>
    <xf numFmtId="0" fontId="7" fillId="0" borderId="1" xfId="0" applyFont="1" applyBorder="1" applyProtection="1">
      <protection locked="0"/>
    </xf>
    <xf numFmtId="0" fontId="3" fillId="0" borderId="2" xfId="0" applyFont="1" applyBorder="1" applyAlignment="1">
      <alignment horizontal="center"/>
    </xf>
    <xf numFmtId="0" fontId="7" fillId="0" borderId="1" xfId="0" applyFont="1" applyBorder="1" applyAlignment="1" applyProtection="1">
      <alignment horizontal="center"/>
      <protection locked="0"/>
    </xf>
    <xf numFmtId="0" fontId="4" fillId="0" borderId="0" xfId="0" applyFont="1"/>
    <xf numFmtId="0" fontId="3" fillId="0" borderId="3" xfId="0" applyFont="1" applyBorder="1"/>
    <xf numFmtId="0" fontId="4" fillId="0" borderId="3" xfId="0" applyFont="1" applyBorder="1"/>
    <xf numFmtId="0" fontId="4" fillId="0" borderId="0" xfId="0" applyFont="1" applyAlignment="1">
      <alignment wrapText="1"/>
    </xf>
    <xf numFmtId="9" fontId="0" fillId="0" borderId="0" xfId="1" applyFont="1"/>
    <xf numFmtId="2" fontId="3" fillId="0" borderId="0" xfId="0" applyNumberFormat="1" applyFont="1" applyProtection="1">
      <protection locked="0"/>
    </xf>
    <xf numFmtId="164" fontId="0" fillId="0" borderId="0" xfId="0" applyNumberFormat="1"/>
    <xf numFmtId="0" fontId="6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2" fontId="1" fillId="0" borderId="0" xfId="0" applyNumberFormat="1" applyFont="1"/>
    <xf numFmtId="0" fontId="1" fillId="2" borderId="0" xfId="0" applyFont="1" applyFill="1"/>
    <xf numFmtId="0" fontId="10" fillId="0" borderId="0" xfId="0" applyFont="1"/>
    <xf numFmtId="2" fontId="3" fillId="0" borderId="0" xfId="0" applyNumberFormat="1" applyFont="1"/>
    <xf numFmtId="0" fontId="3" fillId="0" borderId="0" xfId="0" applyFont="1" applyAlignment="1">
      <alignment horizontal="right"/>
    </xf>
    <xf numFmtId="0" fontId="11" fillId="0" borderId="0" xfId="0" applyFont="1"/>
    <xf numFmtId="0" fontId="7" fillId="0" borderId="0" xfId="0" applyFont="1" applyProtection="1">
      <protection locked="0"/>
    </xf>
    <xf numFmtId="0" fontId="13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 applyProtection="1">
      <alignment horizontal="left"/>
      <protection locked="0"/>
    </xf>
    <xf numFmtId="0" fontId="15" fillId="0" borderId="0" xfId="2" applyFont="1" applyBorder="1" applyAlignment="1" applyProtection="1">
      <alignment horizontal="left"/>
    </xf>
    <xf numFmtId="166" fontId="3" fillId="0" borderId="0" xfId="0" applyNumberFormat="1" applyFont="1" applyAlignment="1">
      <alignment horizontal="right"/>
    </xf>
    <xf numFmtId="166" fontId="3" fillId="0" borderId="0" xfId="0" applyNumberFormat="1" applyFont="1"/>
    <xf numFmtId="166" fontId="3" fillId="0" borderId="0" xfId="0" applyNumberFormat="1" applyFont="1" applyAlignment="1" applyProtection="1">
      <alignment horizontal="right"/>
      <protection locked="0"/>
    </xf>
    <xf numFmtId="166" fontId="3" fillId="0" borderId="0" xfId="0" applyNumberFormat="1" applyFont="1" applyProtection="1">
      <protection locked="0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 applyProtection="1">
      <alignment horizontal="center"/>
      <protection locked="0"/>
    </xf>
    <xf numFmtId="166" fontId="10" fillId="0" borderId="0" xfId="0" applyNumberFormat="1" applyFont="1"/>
    <xf numFmtId="167" fontId="1" fillId="0" borderId="0" xfId="0" applyNumberFormat="1" applyFont="1"/>
    <xf numFmtId="10" fontId="1" fillId="0" borderId="0" xfId="1" applyNumberFormat="1" applyFont="1" applyProtection="1"/>
    <xf numFmtId="0" fontId="1" fillId="0" borderId="0" xfId="0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1" fillId="0" borderId="0" xfId="1" applyNumberFormat="1" applyFont="1" applyBorder="1" applyProtection="1">
      <protection locked="0"/>
    </xf>
    <xf numFmtId="0" fontId="4" fillId="0" borderId="0" xfId="0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9" fontId="3" fillId="0" borderId="0" xfId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12" fillId="0" borderId="4" xfId="0" applyFont="1" applyBorder="1" applyProtection="1">
      <protection locked="0"/>
    </xf>
    <xf numFmtId="0" fontId="12" fillId="0" borderId="5" xfId="0" applyFont="1" applyBorder="1" applyProtection="1">
      <protection locked="0"/>
    </xf>
    <xf numFmtId="0" fontId="3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Protection="1">
      <protection locked="0"/>
    </xf>
    <xf numFmtId="0" fontId="3" fillId="0" borderId="10" xfId="0" applyFont="1" applyBorder="1" applyAlignment="1">
      <alignment horizontal="center"/>
    </xf>
    <xf numFmtId="0" fontId="3" fillId="0" borderId="11" xfId="0" applyFont="1" applyBorder="1"/>
    <xf numFmtId="0" fontId="5" fillId="0" borderId="10" xfId="0" applyFont="1" applyBorder="1"/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0" fillId="0" borderId="10" xfId="0" applyBorder="1"/>
    <xf numFmtId="0" fontId="3" fillId="0" borderId="11" xfId="0" applyFont="1" applyBorder="1" applyAlignment="1">
      <alignment horizontal="center"/>
    </xf>
    <xf numFmtId="0" fontId="10" fillId="0" borderId="10" xfId="0" applyFont="1" applyBorder="1"/>
    <xf numFmtId="0" fontId="4" fillId="0" borderId="12" xfId="0" applyFont="1" applyBorder="1"/>
    <xf numFmtId="0" fontId="4" fillId="0" borderId="13" xfId="0" applyFont="1" applyBorder="1"/>
    <xf numFmtId="0" fontId="3" fillId="0" borderId="13" xfId="0" applyFont="1" applyBorder="1"/>
    <xf numFmtId="166" fontId="10" fillId="0" borderId="13" xfId="0" applyNumberFormat="1" applyFont="1" applyBorder="1"/>
    <xf numFmtId="0" fontId="0" fillId="0" borderId="13" xfId="0" applyBorder="1"/>
    <xf numFmtId="0" fontId="3" fillId="0" borderId="14" xfId="0" applyFont="1" applyBorder="1"/>
    <xf numFmtId="0" fontId="3" fillId="0" borderId="7" xfId="0" applyFont="1" applyBorder="1"/>
    <xf numFmtId="0" fontId="1" fillId="0" borderId="9" xfId="0" applyFont="1" applyBorder="1"/>
    <xf numFmtId="0" fontId="1" fillId="0" borderId="11" xfId="0" applyFont="1" applyBorder="1" applyProtection="1">
      <protection locked="0"/>
    </xf>
    <xf numFmtId="165" fontId="3" fillId="0" borderId="11" xfId="1" applyNumberFormat="1" applyFont="1" applyBorder="1" applyProtection="1">
      <protection locked="0"/>
    </xf>
    <xf numFmtId="165" fontId="1" fillId="0" borderId="11" xfId="1" applyNumberFormat="1" applyFont="1" applyBorder="1" applyProtection="1">
      <protection locked="0"/>
    </xf>
    <xf numFmtId="0" fontId="1" fillId="0" borderId="11" xfId="0" applyFont="1" applyBorder="1"/>
    <xf numFmtId="0" fontId="5" fillId="0" borderId="12" xfId="0" applyFont="1" applyBorder="1"/>
    <xf numFmtId="0" fontId="1" fillId="0" borderId="14" xfId="0" applyFont="1" applyBorder="1"/>
    <xf numFmtId="9" fontId="3" fillId="0" borderId="11" xfId="1" applyFont="1" applyBorder="1" applyAlignment="1" applyProtection="1">
      <alignment horizontal="center"/>
      <protection locked="0"/>
    </xf>
    <xf numFmtId="166" fontId="0" fillId="0" borderId="0" xfId="0" applyNumberFormat="1" applyProtection="1">
      <protection locked="0"/>
    </xf>
    <xf numFmtId="0" fontId="3" fillId="0" borderId="0" xfId="0" applyFont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5" fillId="0" borderId="0" xfId="2" applyFont="1" applyBorder="1" applyAlignment="1" applyProtection="1">
      <alignment horizontal="left"/>
    </xf>
    <xf numFmtId="0" fontId="15" fillId="0" borderId="11" xfId="2" applyFont="1" applyBorder="1" applyAlignment="1" applyProtection="1">
      <alignment horizontal="left"/>
    </xf>
    <xf numFmtId="0" fontId="3" fillId="0" borderId="0" xfId="0" applyFont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9" fontId="3" fillId="0" borderId="0" xfId="1" applyFont="1" applyBorder="1" applyAlignment="1" applyProtection="1">
      <alignment horizontal="center"/>
      <protection locked="0"/>
    </xf>
    <xf numFmtId="9" fontId="3" fillId="0" borderId="11" xfId="1" applyFont="1" applyBorder="1" applyAlignment="1" applyProtection="1">
      <alignment horizontal="center"/>
      <protection locked="0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</cellXfs>
  <cellStyles count="3">
    <cellStyle name="Hyperlink" xfId="2" builtinId="8"/>
    <cellStyle name="Procent" xfId="1" builtinId="5"/>
    <cellStyle name="Standaard" xfId="0" builtinId="0"/>
  </cellStyles>
  <dxfs count="0"/>
  <tableStyles count="0" defaultTableStyle="TableStyleMedium2" defaultPivotStyle="PivotStyleLight16"/>
  <colors>
    <mruColors>
      <color rgb="FF0000CC"/>
      <color rgb="FF68625D"/>
      <color rgb="FF00CC66"/>
      <color rgb="FFFF33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NPV analysis of using Storeganizer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992570533674205E-2"/>
          <c:y val="0.16534548611172054"/>
          <c:w val="0.89934210252432245"/>
          <c:h val="0.68364082095139744"/>
        </c:manualLayout>
      </c:layout>
      <c:barChart>
        <c:barDir val="col"/>
        <c:grouping val="clustered"/>
        <c:varyColors val="0"/>
        <c:ser>
          <c:idx val="0"/>
          <c:order val="0"/>
          <c:tx>
            <c:v>Savings</c:v>
          </c:tx>
          <c:spPr>
            <a:solidFill>
              <a:srgbClr val="00CC66"/>
            </a:solidFill>
            <a:ln>
              <a:noFill/>
            </a:ln>
            <a:effectLst/>
          </c:spPr>
          <c:invertIfNegative val="0"/>
          <c:cat>
            <c:strRef>
              <c:f>[0]!Year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[0]!Saving</c:f>
              <c:numCache>
                <c:formatCode>General</c:formatCode>
                <c:ptCount val="10"/>
                <c:pt idx="0">
                  <c:v>19435.473913043486</c:v>
                </c:pt>
                <c:pt idx="1">
                  <c:v>19629.828652173925</c:v>
                </c:pt>
                <c:pt idx="2">
                  <c:v>19826.126938695659</c:v>
                </c:pt>
                <c:pt idx="3">
                  <c:v>20024.388208082619</c:v>
                </c:pt>
                <c:pt idx="4">
                  <c:v>20224.632090163443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C-4EC2-9D2D-2FE6F3964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604630184"/>
        <c:axId val="604628216"/>
      </c:barChart>
      <c:lineChart>
        <c:grouping val="standard"/>
        <c:varyColors val="0"/>
        <c:ser>
          <c:idx val="2"/>
          <c:order val="1"/>
          <c:tx>
            <c:v>NPV</c:v>
          </c:tx>
          <c:spPr>
            <a:ln w="28575" cap="rnd">
              <a:solidFill>
                <a:srgbClr val="0000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CC"/>
              </a:solidFill>
              <a:ln w="9525">
                <a:solidFill>
                  <a:srgbClr val="0000CC"/>
                </a:solidFill>
              </a:ln>
              <a:effectLst/>
            </c:spPr>
          </c:marker>
          <c:cat>
            <c:strRef>
              <c:f>[0]!Year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[0]!NPV</c:f>
              <c:numCache>
                <c:formatCode>General</c:formatCode>
                <c:ptCount val="10"/>
                <c:pt idx="0">
                  <c:v>-16938.970436721971</c:v>
                </c:pt>
                <c:pt idx="1">
                  <c:v>12.651028672327811</c:v>
                </c:pt>
                <c:pt idx="2">
                  <c:v>15923.010363351495</c:v>
                </c:pt>
                <c:pt idx="3">
                  <c:v>30856.067633146071</c:v>
                </c:pt>
                <c:pt idx="4">
                  <c:v>44871.854123706929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B-42E1-BCC6-98CCA7670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630184"/>
        <c:axId val="604628216"/>
      </c:lineChart>
      <c:catAx>
        <c:axId val="60463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28216"/>
        <c:crosses val="autoZero"/>
        <c:auto val="1"/>
        <c:lblAlgn val="ctr"/>
        <c:lblOffset val="100"/>
        <c:noMultiLvlLbl val="0"/>
      </c:catAx>
      <c:valAx>
        <c:axId val="60462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 ;[Red]\-#\ 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30184"/>
        <c:crossesAt val="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4803149606299213" l="0.70866141732283472" r="0.70866141732283472" t="0.74803149606299213" header="0.31496062992125984" footer="0.31496062992125984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647700</xdr:colOff>
      <xdr:row>35</xdr:row>
      <xdr:rowOff>76199</xdr:rowOff>
    </xdr:from>
    <xdr:to>
      <xdr:col>16</xdr:col>
      <xdr:colOff>723900</xdr:colOff>
      <xdr:row>36</xdr:row>
      <xdr:rowOff>104774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820025" y="7181849"/>
          <a:ext cx="1609725" cy="219075"/>
        </a:xfrm>
        <a:prstGeom prst="rect">
          <a:avLst/>
        </a:prstGeom>
        <a:solidFill>
          <a:srgbClr val="68625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www.storeganizer.com</a:t>
          </a:r>
        </a:p>
      </xdr:txBody>
    </xdr:sp>
    <xdr:clientData/>
  </xdr:twoCellAnchor>
  <xdr:twoCellAnchor editAs="oneCell">
    <xdr:from>
      <xdr:col>12</xdr:col>
      <xdr:colOff>24246</xdr:colOff>
      <xdr:row>33</xdr:row>
      <xdr:rowOff>450608</xdr:rowOff>
    </xdr:from>
    <xdr:to>
      <xdr:col>16</xdr:col>
      <xdr:colOff>541295</xdr:colOff>
      <xdr:row>35</xdr:row>
      <xdr:rowOff>6688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6546" y="6584708"/>
          <a:ext cx="2516333" cy="38539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15875</xdr:rowOff>
    </xdr:from>
    <xdr:to>
      <xdr:col>16</xdr:col>
      <xdr:colOff>580159</xdr:colOff>
      <xdr:row>2</xdr:row>
      <xdr:rowOff>34636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0" y="15875"/>
          <a:ext cx="8763000" cy="3045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b="1" u="sng">
              <a:solidFill>
                <a:srgbClr val="0070C0"/>
              </a:solidFill>
              <a:latin typeface="Averta-Bold" panose="00000800000000000000" pitchFamily="50" charset="0"/>
            </a:rPr>
            <a:t>ROI of using</a:t>
          </a:r>
          <a:r>
            <a:rPr lang="en-GB" sz="1400" b="1" u="sng" baseline="0">
              <a:solidFill>
                <a:srgbClr val="0070C0"/>
              </a:solidFill>
              <a:latin typeface="Averta-Bold" panose="00000800000000000000" pitchFamily="50" charset="0"/>
            </a:rPr>
            <a:t> Storeganizer: Inputs</a:t>
          </a:r>
          <a:endParaRPr lang="en-GB" sz="1400" b="1" u="sng">
            <a:solidFill>
              <a:srgbClr val="0070C0"/>
            </a:solidFill>
            <a:latin typeface="Averta-Bold" panose="00000800000000000000" pitchFamily="50" charset="0"/>
          </a:endParaRPr>
        </a:p>
      </xdr:txBody>
    </xdr:sp>
    <xdr:clientData/>
  </xdr:twoCellAnchor>
  <xdr:twoCellAnchor>
    <xdr:from>
      <xdr:col>19</xdr:col>
      <xdr:colOff>0</xdr:colOff>
      <xdr:row>0</xdr:row>
      <xdr:rowOff>0</xdr:rowOff>
    </xdr:from>
    <xdr:to>
      <xdr:col>34</xdr:col>
      <xdr:colOff>588818</xdr:colOff>
      <xdr:row>2</xdr:row>
      <xdr:rowOff>18761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1852C5E-5784-4226-B9BA-E447FE0371C4}"/>
            </a:ext>
          </a:extLst>
        </xdr:cNvPr>
        <xdr:cNvSpPr txBox="1"/>
      </xdr:nvSpPr>
      <xdr:spPr>
        <a:xfrm>
          <a:off x="8364682" y="0"/>
          <a:ext cx="8572500" cy="3045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b="1" u="sng">
              <a:solidFill>
                <a:srgbClr val="0070C0"/>
              </a:solidFill>
              <a:latin typeface="Averta-Bold" panose="00000800000000000000" pitchFamily="50" charset="0"/>
            </a:rPr>
            <a:t>ROI of using</a:t>
          </a:r>
          <a:r>
            <a:rPr lang="en-GB" sz="1400" b="1" u="sng" baseline="0">
              <a:solidFill>
                <a:srgbClr val="0070C0"/>
              </a:solidFill>
              <a:latin typeface="Averta-Bold" panose="00000800000000000000" pitchFamily="50" charset="0"/>
            </a:rPr>
            <a:t> Storeganizer: Results</a:t>
          </a:r>
          <a:endParaRPr lang="en-GB" sz="1400" b="1" u="sng">
            <a:solidFill>
              <a:srgbClr val="0070C0"/>
            </a:solidFill>
            <a:latin typeface="Averta-Bold" panose="00000800000000000000" pitchFamily="50" charset="0"/>
          </a:endParaRPr>
        </a:p>
      </xdr:txBody>
    </xdr:sp>
    <xdr:clientData/>
  </xdr:twoCellAnchor>
  <xdr:twoCellAnchor>
    <xdr:from>
      <xdr:col>33</xdr:col>
      <xdr:colOff>57150</xdr:colOff>
      <xdr:row>35</xdr:row>
      <xdr:rowOff>57150</xdr:rowOff>
    </xdr:from>
    <xdr:to>
      <xdr:col>35</xdr:col>
      <xdr:colOff>504825</xdr:colOff>
      <xdr:row>36</xdr:row>
      <xdr:rowOff>76200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EAB50B1-1678-44E2-9590-0620B1ABD223}"/>
            </a:ext>
          </a:extLst>
        </xdr:cNvPr>
        <xdr:cNvSpPr txBox="1"/>
      </xdr:nvSpPr>
      <xdr:spPr>
        <a:xfrm>
          <a:off x="16964025" y="7162800"/>
          <a:ext cx="1762125" cy="209550"/>
        </a:xfrm>
        <a:prstGeom prst="rect">
          <a:avLst/>
        </a:prstGeom>
        <a:solidFill>
          <a:srgbClr val="68625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www.storeganizer.com</a:t>
          </a:r>
        </a:p>
      </xdr:txBody>
    </xdr:sp>
    <xdr:clientData/>
  </xdr:twoCellAnchor>
  <xdr:twoCellAnchor editAs="oneCell">
    <xdr:from>
      <xdr:col>32</xdr:col>
      <xdr:colOff>17318</xdr:colOff>
      <xdr:row>33</xdr:row>
      <xdr:rowOff>489574</xdr:rowOff>
    </xdr:from>
    <xdr:to>
      <xdr:col>35</xdr:col>
      <xdr:colOff>523587</xdr:colOff>
      <xdr:row>35</xdr:row>
      <xdr:rowOff>36764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635EB93-6DBB-4626-96D3-4A571EC98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6968" y="6595099"/>
          <a:ext cx="2474769" cy="385390"/>
        </a:xfrm>
        <a:prstGeom prst="rect">
          <a:avLst/>
        </a:prstGeom>
      </xdr:spPr>
    </xdr:pic>
    <xdr:clientData/>
  </xdr:twoCellAnchor>
  <xdr:twoCellAnchor>
    <xdr:from>
      <xdr:col>19</xdr:col>
      <xdr:colOff>147202</xdr:colOff>
      <xdr:row>11</xdr:row>
      <xdr:rowOff>43295</xdr:rowOff>
    </xdr:from>
    <xdr:to>
      <xdr:col>32</xdr:col>
      <xdr:colOff>458931</xdr:colOff>
      <xdr:row>28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1E556AC-6C1B-4DE3-A6C0-5644DCD45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uCNW5r3qupg&amp;list=PLmV0B26jEsDFe2EOsoy4YGnAbFxT-vN3L&amp;index=3&amp;t=172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F480-9AA1-4DED-AEBE-99358B470667}">
  <sheetPr codeName="Sheet1"/>
  <dimension ref="A1:AJ40"/>
  <sheetViews>
    <sheetView showGridLines="0" tabSelected="1" zoomScale="55" zoomScaleNormal="55" zoomScaleSheetLayoutView="110" zoomScalePageLayoutView="78" workbookViewId="0">
      <selection activeCell="J13" sqref="J13:Q13"/>
    </sheetView>
  </sheetViews>
  <sheetFormatPr defaultColWidth="9.08984375" defaultRowHeight="14.5"/>
  <cols>
    <col min="1" max="1" width="16.453125" style="1" customWidth="1"/>
    <col min="2" max="2" width="3.08984375" style="1" customWidth="1"/>
    <col min="3" max="3" width="10.08984375" style="1" customWidth="1"/>
    <col min="4" max="4" width="4.36328125" style="1" customWidth="1"/>
    <col min="5" max="5" width="10" style="1" customWidth="1"/>
    <col min="6" max="6" width="3.453125" style="1" customWidth="1"/>
    <col min="7" max="7" width="7.90625" style="1" customWidth="1"/>
    <col min="8" max="8" width="6.36328125" style="1" customWidth="1"/>
    <col min="9" max="9" width="8.36328125" style="1" customWidth="1"/>
    <col min="10" max="11" width="9.08984375" style="1"/>
    <col min="12" max="12" width="6" style="1" customWidth="1"/>
    <col min="13" max="13" width="2.90625" style="1" customWidth="1"/>
    <col min="14" max="14" width="10.6328125" style="1" customWidth="1"/>
    <col min="15" max="15" width="4.453125" style="1" customWidth="1"/>
    <col min="16" max="16" width="9.90625" style="1" bestFit="1" customWidth="1"/>
    <col min="17" max="17" width="8.6328125" style="1" customWidth="1"/>
    <col min="18" max="18" width="4.453125" style="1" customWidth="1"/>
    <col min="19" max="19" width="6" style="1" customWidth="1"/>
    <col min="20" max="21" width="9.08984375" style="1"/>
    <col min="22" max="22" width="4.453125" style="1" customWidth="1"/>
    <col min="23" max="23" width="15.6328125" style="1" bestFit="1" customWidth="1"/>
    <col min="24" max="24" width="5.54296875" style="1" customWidth="1"/>
    <col min="25" max="25" width="5.08984375" style="1" customWidth="1"/>
    <col min="26" max="26" width="9.08984375" style="1"/>
    <col min="27" max="27" width="3.08984375" style="1" customWidth="1"/>
    <col min="28" max="28" width="5.54296875" style="1" hidden="1" customWidth="1"/>
    <col min="29" max="29" width="9.08984375" style="1"/>
    <col min="30" max="30" width="7" style="1" customWidth="1"/>
    <col min="31" max="31" width="9.08984375" style="1"/>
    <col min="32" max="32" width="6.36328125" style="1" customWidth="1"/>
    <col min="33" max="16384" width="9.08984375" style="1"/>
  </cols>
  <sheetData>
    <row r="1" spans="1:36" ht="5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36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36">
      <c r="A3" s="25" t="s">
        <v>50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36" ht="16.5" customHeight="1">
      <c r="A4" s="3" t="s">
        <v>11</v>
      </c>
      <c r="B4" s="3"/>
      <c r="C4" s="17" t="s">
        <v>0</v>
      </c>
      <c r="D4" s="3"/>
      <c r="E4" s="3"/>
      <c r="F4" s="3"/>
      <c r="G4" s="3"/>
      <c r="H4" s="3"/>
      <c r="I4" s="4"/>
      <c r="J4" s="3"/>
      <c r="K4" s="3"/>
      <c r="L4" s="3"/>
      <c r="M4" s="3"/>
      <c r="N4" s="3"/>
      <c r="O4" s="3"/>
      <c r="P4" s="3"/>
      <c r="Q4" s="2"/>
      <c r="R4" s="2"/>
      <c r="S4" s="2"/>
      <c r="T4" s="81" t="s">
        <v>56</v>
      </c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</row>
    <row r="5" spans="1:36">
      <c r="A5" s="3" t="s">
        <v>12</v>
      </c>
      <c r="B5" s="3"/>
      <c r="C5" s="18" t="s">
        <v>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2"/>
      <c r="R5" s="2"/>
      <c r="S5" s="2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</row>
    <row r="6" spans="1:36" ht="18.5">
      <c r="A6" s="50" t="s">
        <v>28</v>
      </c>
      <c r="B6" s="51"/>
      <c r="C6" s="52"/>
      <c r="D6" s="52"/>
      <c r="E6" s="52"/>
      <c r="F6" s="52"/>
      <c r="G6" s="52"/>
      <c r="H6" s="53"/>
      <c r="I6" s="71"/>
      <c r="J6" s="51" t="s">
        <v>29</v>
      </c>
      <c r="K6" s="52"/>
      <c r="L6" s="52"/>
      <c r="M6" s="52"/>
      <c r="N6" s="52"/>
      <c r="O6" s="52"/>
      <c r="P6" s="52"/>
      <c r="Q6" s="72"/>
      <c r="R6" s="2"/>
      <c r="S6" s="2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</row>
    <row r="7" spans="1:36">
      <c r="A7" s="54" t="s">
        <v>13</v>
      </c>
      <c r="B7" s="3"/>
      <c r="C7" s="9">
        <v>2.7</v>
      </c>
      <c r="D7" s="5" t="str">
        <f>IF($C$4="Metric",Input!B1,IF($C$4="Imperial",Input!B2,""))</f>
        <v>m</v>
      </c>
      <c r="E7" s="3"/>
      <c r="F7" s="5"/>
      <c r="G7" s="5"/>
      <c r="H7" s="55"/>
      <c r="I7" s="54"/>
      <c r="J7" s="3" t="s">
        <v>52</v>
      </c>
      <c r="K7" s="3"/>
      <c r="L7" s="3"/>
      <c r="M7" s="3"/>
      <c r="N7" s="3"/>
      <c r="O7" s="3"/>
      <c r="P7" s="7">
        <v>20</v>
      </c>
      <c r="Q7" s="73"/>
      <c r="R7" s="40"/>
      <c r="S7" s="40"/>
      <c r="T7" s="2" t="s">
        <v>32</v>
      </c>
      <c r="U7" s="2"/>
      <c r="V7" s="2" t="str">
        <f>C5</f>
        <v>€</v>
      </c>
      <c r="W7" s="38">
        <f>E29+P27</f>
        <v>19243.043478260879</v>
      </c>
      <c r="X7" s="2"/>
      <c r="Y7"/>
      <c r="Z7"/>
      <c r="AA7"/>
      <c r="AB7"/>
      <c r="AC7"/>
      <c r="AD7"/>
      <c r="AE7"/>
      <c r="AF7"/>
      <c r="AG7"/>
      <c r="AH7"/>
      <c r="AI7"/>
      <c r="AJ7"/>
    </row>
    <row r="8" spans="1:36">
      <c r="A8" s="54" t="s">
        <v>14</v>
      </c>
      <c r="B8" s="3"/>
      <c r="C8" s="9">
        <v>1</v>
      </c>
      <c r="D8" s="5" t="str">
        <f>IF($C$4="Metric",Input!$B$1,IF($C$4="Imperial",Input!$B$2,""))</f>
        <v>m</v>
      </c>
      <c r="E8" s="3"/>
      <c r="F8" s="5"/>
      <c r="G8" s="5"/>
      <c r="H8" s="55"/>
      <c r="I8" s="54"/>
      <c r="J8" s="3" t="s">
        <v>21</v>
      </c>
      <c r="K8" s="3"/>
      <c r="L8" s="3"/>
      <c r="M8" s="3"/>
      <c r="N8" s="3"/>
      <c r="O8" s="3"/>
      <c r="P8" s="7">
        <v>2</v>
      </c>
      <c r="Q8" s="73"/>
      <c r="R8" s="40"/>
      <c r="S8" s="40"/>
      <c r="T8" s="2" t="s">
        <v>42</v>
      </c>
      <c r="U8" s="2"/>
      <c r="V8" s="2" t="str">
        <f>C5</f>
        <v>€</v>
      </c>
      <c r="W8" s="38">
        <f>CHOOSE(G32,Calculation!C8,Calculation!D8,Calculation!E8,Calculation!F8,Calculation!G8,Calculation!H8,Calculation!I8,Calculation!J8,Calculation!K8,Calculation!L8)</f>
        <v>15923.010363351495</v>
      </c>
      <c r="X8" s="2"/>
      <c r="Y8"/>
      <c r="Z8"/>
      <c r="AA8"/>
      <c r="AB8"/>
      <c r="AC8"/>
      <c r="AD8"/>
      <c r="AE8"/>
      <c r="AF8"/>
      <c r="AG8"/>
      <c r="AH8"/>
      <c r="AI8"/>
      <c r="AJ8"/>
    </row>
    <row r="9" spans="1:36" ht="15.75" customHeight="1">
      <c r="A9" s="56" t="str">
        <f>IF($C$4="Metric",Input!$C$1,IF($C$4="Imperial",Input!$C$2,""))</f>
        <v>m²</v>
      </c>
      <c r="B9" s="46"/>
      <c r="C9" s="8">
        <f>C7*C8</f>
        <v>2.7</v>
      </c>
      <c r="D9" s="5"/>
      <c r="E9" s="3"/>
      <c r="F9" s="5"/>
      <c r="G9" s="5"/>
      <c r="H9" s="55"/>
      <c r="I9" s="54"/>
      <c r="J9" s="3" t="str">
        <f>"10. Wage staff member ("&amp;C5&amp;"/h)"</f>
        <v>10. Wage staff member (€/h)</v>
      </c>
      <c r="K9" s="3"/>
      <c r="L9" s="3"/>
      <c r="M9" s="3"/>
      <c r="N9" s="3"/>
      <c r="O9" s="3"/>
      <c r="P9" s="7">
        <v>28</v>
      </c>
      <c r="Q9" s="73"/>
      <c r="R9" s="40"/>
      <c r="S9" s="40"/>
      <c r="T9" s="2" t="s">
        <v>33</v>
      </c>
      <c r="U9"/>
      <c r="V9"/>
      <c r="W9" s="39">
        <f>CHOOSE(G32,Calculation!C8,Calculation!D8,Calculation!E8,Calculation!F8,Calculation!G8,Calculation!H8,Calculation!I8,Calculation!J8,Calculation!K8,Calculation!L8)/G31</f>
        <v>0.45494315323861417</v>
      </c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36" ht="12" customHeight="1">
      <c r="A10" s="54"/>
      <c r="B10" s="3"/>
      <c r="C10" s="3"/>
      <c r="D10" s="3"/>
      <c r="E10" s="3"/>
      <c r="F10" s="3"/>
      <c r="G10" s="3"/>
      <c r="H10" s="57"/>
      <c r="I10" s="54"/>
      <c r="J10" s="3"/>
      <c r="K10" s="3"/>
      <c r="L10" s="3"/>
      <c r="M10" s="3"/>
      <c r="N10" s="3"/>
      <c r="O10" s="3"/>
      <c r="P10" s="5"/>
      <c r="Q10" s="73"/>
      <c r="R10" s="40"/>
      <c r="S10" s="40"/>
      <c r="T10" s="2" t="s">
        <v>38</v>
      </c>
      <c r="U10" s="2"/>
      <c r="V10" s="2"/>
      <c r="W10" s="20">
        <f>G31/W7</f>
        <v>1.8188391061704956</v>
      </c>
      <c r="X10" s="2" t="s">
        <v>30</v>
      </c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ht="12.75" customHeight="1">
      <c r="A11" s="54"/>
      <c r="B11" s="3"/>
      <c r="C11" s="3" t="s">
        <v>49</v>
      </c>
      <c r="D11" s="3"/>
      <c r="E11" s="3" t="s">
        <v>17</v>
      </c>
      <c r="F11" s="3"/>
      <c r="G11" s="3"/>
      <c r="H11" s="57"/>
      <c r="I11" s="54"/>
      <c r="J11" s="3"/>
      <c r="K11" s="3"/>
      <c r="L11" s="3"/>
      <c r="M11" s="3"/>
      <c r="N11" s="3"/>
      <c r="O11" s="3"/>
      <c r="P11" s="5"/>
      <c r="Q11" s="73"/>
      <c r="R11" s="40"/>
      <c r="S11" s="40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</row>
    <row r="12" spans="1:36">
      <c r="A12" s="54" t="s">
        <v>16</v>
      </c>
      <c r="B12" s="3"/>
      <c r="C12" s="9">
        <v>40</v>
      </c>
      <c r="D12" s="5"/>
      <c r="E12" s="9">
        <v>90</v>
      </c>
      <c r="F12" s="5"/>
      <c r="G12" s="87"/>
      <c r="H12" s="88"/>
      <c r="I12" s="54"/>
      <c r="J12" s="3" t="s">
        <v>22</v>
      </c>
      <c r="K12" s="3"/>
      <c r="L12" s="3"/>
      <c r="M12" s="3"/>
      <c r="N12" s="3"/>
      <c r="O12" s="3"/>
      <c r="P12" s="7">
        <v>15</v>
      </c>
      <c r="Q12" s="73" t="s">
        <v>23</v>
      </c>
      <c r="R12" s="40"/>
      <c r="S12" s="40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ht="16.5" customHeight="1">
      <c r="A13" s="54" t="s">
        <v>15</v>
      </c>
      <c r="B13" s="3"/>
      <c r="C13" s="9">
        <v>30</v>
      </c>
      <c r="D13" s="5"/>
      <c r="E13" s="9">
        <v>15</v>
      </c>
      <c r="F13" s="5"/>
      <c r="G13" s="5"/>
      <c r="H13" s="55"/>
      <c r="I13" s="54"/>
      <c r="J13" s="85" t="s">
        <v>55</v>
      </c>
      <c r="K13" s="85"/>
      <c r="L13" s="85"/>
      <c r="M13" s="85"/>
      <c r="N13" s="85"/>
      <c r="O13" s="85"/>
      <c r="P13" s="85"/>
      <c r="Q13" s="86"/>
      <c r="R13" s="30"/>
      <c r="S13" s="30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 spans="1:36" ht="8.25" customHeight="1">
      <c r="A14" s="54"/>
      <c r="B14" s="3"/>
      <c r="C14" s="11"/>
      <c r="D14" s="3"/>
      <c r="E14" s="12"/>
      <c r="F14" s="10"/>
      <c r="G14" s="96"/>
      <c r="H14" s="97"/>
      <c r="I14" s="98"/>
      <c r="J14" s="96"/>
      <c r="K14" s="96"/>
      <c r="L14" s="96"/>
      <c r="M14" s="43"/>
      <c r="N14" s="3"/>
      <c r="O14" s="3"/>
      <c r="P14" s="5"/>
      <c r="Q14" s="73"/>
      <c r="R14" s="40"/>
      <c r="S14" s="40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</row>
    <row r="15" spans="1:36">
      <c r="A15" s="58" t="s">
        <v>18</v>
      </c>
      <c r="B15" s="6"/>
      <c r="C15" s="35">
        <f>C12*C13</f>
        <v>1200</v>
      </c>
      <c r="D15" s="46"/>
      <c r="E15" s="36">
        <f>E12*E13</f>
        <v>1350</v>
      </c>
      <c r="F15" s="5"/>
      <c r="G15" s="87"/>
      <c r="H15" s="88"/>
      <c r="I15" s="54"/>
      <c r="J15"/>
      <c r="K15" s="3"/>
      <c r="L15" s="3"/>
      <c r="M15" s="3"/>
      <c r="N15" s="28" t="s">
        <v>49</v>
      </c>
      <c r="O15" s="3"/>
      <c r="P15" s="29" t="s">
        <v>17</v>
      </c>
      <c r="Q15" s="73"/>
      <c r="R15" s="40"/>
      <c r="S15" s="40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 spans="1:36">
      <c r="A16" s="54" t="str">
        <f>"# Loc/"&amp;A9</f>
        <v># Loc/m²</v>
      </c>
      <c r="B16" s="3"/>
      <c r="C16" s="46">
        <f>C12/C9</f>
        <v>14.814814814814813</v>
      </c>
      <c r="D16" s="46"/>
      <c r="E16" s="44">
        <f>E12/C9</f>
        <v>33.333333333333329</v>
      </c>
      <c r="F16" s="44"/>
      <c r="G16" s="89">
        <f>(E16-C16)/C16</f>
        <v>1.25</v>
      </c>
      <c r="H16" s="90"/>
      <c r="I16" s="54"/>
      <c r="J16" s="3" t="s">
        <v>51</v>
      </c>
      <c r="K16" s="3"/>
      <c r="L16" s="3"/>
      <c r="M16" s="3"/>
      <c r="N16" s="31">
        <f>P7*P8*8*0.8*260</f>
        <v>66560</v>
      </c>
      <c r="O16" s="3"/>
      <c r="P16" s="33">
        <f>P7*P8*8*0.8*260</f>
        <v>66560</v>
      </c>
      <c r="Q16" s="73"/>
      <c r="R16" s="40"/>
      <c r="S16" s="40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</row>
    <row r="17" spans="1:36">
      <c r="A17" s="54"/>
      <c r="B17" s="3"/>
      <c r="C17" s="46"/>
      <c r="D17" s="46"/>
      <c r="E17" s="44"/>
      <c r="F17" s="44"/>
      <c r="G17" s="45"/>
      <c r="H17" s="79"/>
      <c r="I17" s="54"/>
      <c r="J17" s="3" t="s">
        <v>25</v>
      </c>
      <c r="K17" s="3"/>
      <c r="L17" s="3"/>
      <c r="M17" s="3" t="str">
        <f>C5</f>
        <v>€</v>
      </c>
      <c r="N17" s="32">
        <f>P8*260*8*P9</f>
        <v>116480</v>
      </c>
      <c r="O17" s="24" t="str">
        <f>C5</f>
        <v>€</v>
      </c>
      <c r="P17" s="34">
        <f>(P8/(P16*(1+(P12/100))))*N16*P9*8*260</f>
        <v>101286.95652173912</v>
      </c>
      <c r="Q17" s="74">
        <f>(P17-N17)/N17</f>
        <v>-0.13043478260869573</v>
      </c>
      <c r="R17" s="40"/>
      <c r="S17" s="40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6">
      <c r="A18" s="54" t="str">
        <f>"Walking distance in "&amp;D8</f>
        <v>Walking distance in m</v>
      </c>
      <c r="B18" s="3"/>
      <c r="C18" s="46">
        <f>C13*C7</f>
        <v>81</v>
      </c>
      <c r="D18" s="3"/>
      <c r="E18" s="44">
        <f>E13*C7</f>
        <v>40.5</v>
      </c>
      <c r="F18" s="5"/>
      <c r="G18" s="89">
        <f>(E18-C18)/C18</f>
        <v>-0.5</v>
      </c>
      <c r="H18" s="90"/>
      <c r="I18" s="54"/>
      <c r="J18" s="3" t="s">
        <v>24</v>
      </c>
      <c r="K18" s="3"/>
      <c r="L18" s="3"/>
      <c r="M18" s="3" t="str">
        <f>C5</f>
        <v>€</v>
      </c>
      <c r="N18" s="23">
        <f>N17/N16</f>
        <v>1.75</v>
      </c>
      <c r="O18" s="24" t="str">
        <f>C5</f>
        <v>€</v>
      </c>
      <c r="P18" s="15">
        <f>P17/P16</f>
        <v>1.5217391304347825</v>
      </c>
      <c r="Q18" s="75"/>
      <c r="R18" s="41"/>
      <c r="S18" s="41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1:36" ht="12" customHeight="1">
      <c r="A19" s="59"/>
      <c r="H19" s="60"/>
      <c r="I19" s="54"/>
      <c r="R19" s="42"/>
      <c r="S19" s="42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 spans="1:36">
      <c r="A20" s="54" t="str">
        <f>"6. "&amp;C5&amp;"/"&amp;A9&amp;" (annual cost)"</f>
        <v>6. €/m² (annual cost)</v>
      </c>
      <c r="B20" s="3"/>
      <c r="C20" s="3"/>
      <c r="D20" s="3"/>
      <c r="E20" s="9">
        <v>90</v>
      </c>
      <c r="F20" s="5"/>
      <c r="G20" s="87"/>
      <c r="H20" s="88"/>
      <c r="I20" s="91"/>
      <c r="J20" s="92"/>
      <c r="K20" s="3"/>
      <c r="L20" s="3"/>
      <c r="M20" s="3"/>
      <c r="N20" s="3"/>
      <c r="O20" s="3"/>
      <c r="P20" s="5"/>
      <c r="Q20" s="73"/>
      <c r="R20" s="40"/>
      <c r="S20" s="4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 spans="1:36">
      <c r="A21" s="54" t="str">
        <f>"7. Utility cost per "&amp;A9&amp;" (annual)"</f>
        <v>7. Utility cost per m² (annual)</v>
      </c>
      <c r="B21" s="3"/>
      <c r="C21" s="3"/>
      <c r="D21" s="3"/>
      <c r="E21" s="9">
        <v>10</v>
      </c>
      <c r="F21" s="5"/>
      <c r="G21" s="44"/>
      <c r="H21" s="61"/>
      <c r="I21" s="93"/>
      <c r="J21" s="87"/>
      <c r="K21" s="87"/>
      <c r="L21" s="87"/>
      <c r="M21" s="44"/>
      <c r="N21" s="5"/>
      <c r="O21" s="5"/>
      <c r="P21" s="5"/>
      <c r="Q21" s="73"/>
      <c r="R21" s="40"/>
      <c r="S21" s="40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 spans="1:36" ht="9" customHeight="1">
      <c r="A22" s="54"/>
      <c r="B22" s="3"/>
      <c r="C22" s="3"/>
      <c r="D22" s="3"/>
      <c r="E22" s="5"/>
      <c r="F22" s="5"/>
      <c r="G22" s="44"/>
      <c r="H22" s="61"/>
      <c r="I22" s="82" t="s">
        <v>53</v>
      </c>
      <c r="J22" s="83"/>
      <c r="K22" s="83"/>
      <c r="L22" s="83"/>
      <c r="M22" s="83"/>
      <c r="N22" s="83"/>
      <c r="O22" s="83"/>
      <c r="P22" s="83"/>
      <c r="Q22" s="84"/>
      <c r="R22" s="27"/>
      <c r="S22" s="27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 spans="1:36" ht="16.5" customHeight="1">
      <c r="A23" s="62"/>
      <c r="B23"/>
      <c r="C23" s="3" t="s">
        <v>49</v>
      </c>
      <c r="D23" s="3"/>
      <c r="E23" s="3" t="s">
        <v>17</v>
      </c>
      <c r="F23" s="3"/>
      <c r="G23" s="46"/>
      <c r="H23" s="63"/>
      <c r="I23" s="82"/>
      <c r="J23" s="83"/>
      <c r="K23" s="83"/>
      <c r="L23" s="83"/>
      <c r="M23" s="83"/>
      <c r="N23" s="83"/>
      <c r="O23" s="83"/>
      <c r="P23" s="83"/>
      <c r="Q23" s="84"/>
      <c r="R23" s="27"/>
      <c r="S23" s="27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 spans="1:36" ht="16.5" customHeight="1">
      <c r="A24" s="54" t="s">
        <v>47</v>
      </c>
      <c r="B24" s="3" t="str">
        <f>C5</f>
        <v>€</v>
      </c>
      <c r="C24" s="32">
        <f>C13*C9*E20</f>
        <v>7290</v>
      </c>
      <c r="D24" s="32"/>
      <c r="E24" s="32">
        <f>E13*C9*E20</f>
        <v>3645</v>
      </c>
      <c r="F24" s="3"/>
      <c r="G24" s="3"/>
      <c r="H24" s="57"/>
      <c r="I24" s="82"/>
      <c r="J24" s="83"/>
      <c r="K24" s="83"/>
      <c r="L24" s="83"/>
      <c r="M24" s="83"/>
      <c r="N24" s="83"/>
      <c r="O24" s="83"/>
      <c r="P24" s="83"/>
      <c r="Q24" s="84"/>
      <c r="R24" s="27"/>
      <c r="S24" s="27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 spans="1:36">
      <c r="A25" s="54" t="s">
        <v>48</v>
      </c>
      <c r="B25" s="3" t="str">
        <f>C5</f>
        <v>€</v>
      </c>
      <c r="C25" s="32">
        <f>C13*C9*E21</f>
        <v>810</v>
      </c>
      <c r="D25" s="32"/>
      <c r="E25" s="32">
        <f>E13*C9*E21</f>
        <v>405</v>
      </c>
      <c r="F25" s="3"/>
      <c r="G25" s="3"/>
      <c r="H25" s="57"/>
      <c r="I25" s="58"/>
      <c r="Q25" s="76"/>
      <c r="R25" s="2"/>
      <c r="S25" s="2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1:36" ht="8.25" customHeight="1">
      <c r="A26" s="59"/>
      <c r="F26" s="3"/>
      <c r="G26" s="3"/>
      <c r="H26" s="57"/>
      <c r="I26" s="58"/>
      <c r="Q26" s="76"/>
      <c r="R26" s="2"/>
      <c r="S26" s="2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1:36">
      <c r="A27" s="64" t="s">
        <v>19</v>
      </c>
      <c r="B27" s="3"/>
      <c r="C27" s="3"/>
      <c r="D27" s="3" t="str">
        <f>C5</f>
        <v>€</v>
      </c>
      <c r="E27" s="37">
        <f>(C13-E13)*C9*E20</f>
        <v>3645</v>
      </c>
      <c r="F27" s="3"/>
      <c r="G27" s="3"/>
      <c r="H27" s="57"/>
      <c r="I27" s="58"/>
      <c r="J27" s="22" t="s">
        <v>26</v>
      </c>
      <c r="K27" s="3"/>
      <c r="L27" s="3"/>
      <c r="M27" s="3" t="str">
        <f>C5</f>
        <v>€</v>
      </c>
      <c r="N27" s="3"/>
      <c r="O27" s="3"/>
      <c r="P27" s="37">
        <f>N17-P17</f>
        <v>15193.043478260879</v>
      </c>
      <c r="Q27" s="76"/>
      <c r="R27" s="2"/>
      <c r="S27" s="2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</row>
    <row r="28" spans="1:36">
      <c r="A28" s="64" t="s">
        <v>20</v>
      </c>
      <c r="B28" s="3"/>
      <c r="C28" s="10"/>
      <c r="D28" s="3" t="str">
        <f>C5</f>
        <v>€</v>
      </c>
      <c r="E28" s="37">
        <f>(C13-E13)*C9*E21</f>
        <v>405</v>
      </c>
      <c r="F28"/>
      <c r="G28"/>
      <c r="H28" s="57"/>
      <c r="I28" s="58"/>
      <c r="J28" s="3"/>
      <c r="K28" s="3"/>
      <c r="L28" s="3"/>
      <c r="M28" s="3"/>
      <c r="N28" s="3"/>
      <c r="O28" s="3"/>
      <c r="P28" s="3"/>
      <c r="Q28" s="76"/>
      <c r="R28" s="2"/>
      <c r="S28" s="2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</row>
    <row r="29" spans="1:36" ht="18" customHeight="1">
      <c r="A29" s="65"/>
      <c r="B29" s="66"/>
      <c r="C29" s="66"/>
      <c r="D29" s="67" t="str">
        <f>C5</f>
        <v>€</v>
      </c>
      <c r="E29" s="68">
        <f>SUM(E27:E28)</f>
        <v>4050</v>
      </c>
      <c r="F29" s="69"/>
      <c r="G29" s="69"/>
      <c r="H29" s="70"/>
      <c r="I29" s="77"/>
      <c r="J29" s="67"/>
      <c r="K29" s="67"/>
      <c r="L29" s="67"/>
      <c r="M29" s="67"/>
      <c r="N29" s="67"/>
      <c r="O29" s="67"/>
      <c r="P29" s="67"/>
      <c r="Q29" s="78"/>
      <c r="R29" s="2"/>
      <c r="S29" s="2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</row>
    <row r="30" spans="1:36" ht="6.75" customHeight="1">
      <c r="H30" s="3"/>
      <c r="I30" s="6"/>
      <c r="J30" s="3"/>
      <c r="K30" s="3"/>
      <c r="L30" s="3"/>
      <c r="M30" s="3"/>
      <c r="N30" s="3"/>
      <c r="O30" s="3"/>
      <c r="P30" s="3"/>
      <c r="Q30" s="2"/>
      <c r="R30" s="2"/>
      <c r="S30" s="2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</row>
    <row r="31" spans="1:36">
      <c r="A31" s="3" t="s">
        <v>27</v>
      </c>
      <c r="B31" s="3"/>
      <c r="C31" s="10"/>
      <c r="D31" s="3"/>
      <c r="E31" s="3"/>
      <c r="F31" s="3" t="str">
        <f>C5</f>
        <v>€</v>
      </c>
      <c r="G31" s="7">
        <v>35000</v>
      </c>
      <c r="H31" s="3"/>
      <c r="I31" s="3"/>
      <c r="J31" s="3"/>
      <c r="K31" s="3"/>
      <c r="L31" s="3"/>
      <c r="M31" s="3"/>
      <c r="N31" s="3"/>
      <c r="O31" s="3"/>
      <c r="P31" s="3"/>
      <c r="Q31" s="2"/>
      <c r="R31" s="2"/>
      <c r="S31" s="2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</row>
    <row r="32" spans="1:36">
      <c r="A32" s="3" t="s">
        <v>31</v>
      </c>
      <c r="B32" s="3"/>
      <c r="C32" s="13"/>
      <c r="D32" s="3"/>
      <c r="E32" s="24"/>
      <c r="F32" s="3"/>
      <c r="G32" s="7">
        <v>3</v>
      </c>
      <c r="H32" s="3"/>
      <c r="I32" s="3"/>
      <c r="J32" s="3"/>
      <c r="K32" s="3"/>
      <c r="L32" s="3"/>
      <c r="M32" s="3"/>
      <c r="N32" s="3"/>
      <c r="O32" s="3"/>
      <c r="P32" s="3"/>
      <c r="Q32" s="2"/>
      <c r="R32" s="2"/>
      <c r="S32" s="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</row>
    <row r="33" spans="1:36">
      <c r="A33" s="3" t="s">
        <v>54</v>
      </c>
      <c r="B33" s="3"/>
      <c r="C33" s="13"/>
      <c r="D33" s="3"/>
      <c r="E33" s="24"/>
      <c r="F33" s="3"/>
      <c r="G33" s="26"/>
      <c r="H33" s="3"/>
      <c r="I33" s="3"/>
      <c r="J33" s="3"/>
      <c r="K33" s="3"/>
      <c r="L33" s="3"/>
      <c r="M33" s="3"/>
      <c r="N33" s="3"/>
      <c r="O33" s="3"/>
      <c r="P33" s="3"/>
      <c r="Q33" s="2"/>
      <c r="R33" s="2"/>
      <c r="S33" s="2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</row>
    <row r="34" spans="1:36" ht="63.75" customHeight="1">
      <c r="A34" s="47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  <c r="M34" s="3"/>
      <c r="N34" s="3"/>
      <c r="O34" s="3"/>
      <c r="P34" s="3"/>
      <c r="Q34" s="2"/>
      <c r="R34" s="2"/>
      <c r="S34" s="2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</row>
    <row r="35" spans="1:36" ht="2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1:36" ht="15" customHeight="1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19"/>
      <c r="S36" s="19"/>
      <c r="T36" s="21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</row>
    <row r="37" spans="1:36" ht="15" customHeight="1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19"/>
      <c r="S37" s="19"/>
      <c r="T37" s="21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</row>
    <row r="40" spans="1:36">
      <c r="S40" s="80">
        <f>E27</f>
        <v>3645</v>
      </c>
    </row>
  </sheetData>
  <sheetProtection algorithmName="SHA-512" hashValue="ySnsYXLHahM3pUk2lANoBHot8tR/06MAYqyGy/jFWLkMYmiaT/O51YN9PH+naZg3KCGV6FwZ32UU0w/MZEAKjQ==" saltValue="oU4aTGz7X0zkPyvg9v9FiQ==" spinCount="100000" sheet="1" scenarios="1"/>
  <protectedRanges>
    <protectedRange algorithmName="SHA-512" hashValue="eX+SJA233MZtzn60sCXexIB8TPlYO1jixfDRLXPl7WXMpNjPXuRgIq7f+H40kOyv5qnF2rDrbHflHgJWzYXsGQ==" saltValue="qLFYsgvjWVw0C9V42fgbbQ==" spinCount="100000" sqref="C4:C5 C7:C8 C12:C13 E12:E13 E20:E21 P7:P9 P12 G31:G33" name="Input Parameters"/>
  </protectedRanges>
  <mergeCells count="16">
    <mergeCell ref="U36:AJ37"/>
    <mergeCell ref="A36:Q37"/>
    <mergeCell ref="G14:H14"/>
    <mergeCell ref="I14:J14"/>
    <mergeCell ref="K14:L14"/>
    <mergeCell ref="T4:AJ6"/>
    <mergeCell ref="I22:Q24"/>
    <mergeCell ref="J13:Q13"/>
    <mergeCell ref="G12:H12"/>
    <mergeCell ref="G16:H16"/>
    <mergeCell ref="G18:H18"/>
    <mergeCell ref="K21:L21"/>
    <mergeCell ref="I20:J20"/>
    <mergeCell ref="I21:J21"/>
    <mergeCell ref="G15:H15"/>
    <mergeCell ref="G20:H20"/>
  </mergeCells>
  <dataValidations count="5">
    <dataValidation type="whole" allowBlank="1" showInputMessage="1" showErrorMessage="1" sqref="P8" xr:uid="{27425552-0DE0-4306-8DEC-4AD902FA318B}">
      <formula1>1</formula1>
      <formula2>10000</formula2>
    </dataValidation>
    <dataValidation type="whole" allowBlank="1" showInputMessage="1" showErrorMessage="1" sqref="P7" xr:uid="{9347C4C4-F901-4E54-8774-63F921EBE345}">
      <formula1>1</formula1>
      <formula2>1000000</formula2>
    </dataValidation>
    <dataValidation type="whole" operator="greaterThan" allowBlank="1" showInputMessage="1" showErrorMessage="1" sqref="E12:E13 C12:C13" xr:uid="{1F7650B6-C452-4F29-9E55-D359D88113D8}">
      <formula1>0</formula1>
    </dataValidation>
    <dataValidation type="decimal" operator="greaterThan" allowBlank="1" showInputMessage="1" showErrorMessage="1" sqref="E20:E21 G31 C7:C8" xr:uid="{31B99E33-B44E-4571-8431-B6C40524B3B2}">
      <formula1>0</formula1>
    </dataValidation>
    <dataValidation type="decimal" allowBlank="1" showInputMessage="1" showErrorMessage="1" sqref="P12" xr:uid="{77C9C5AE-32F5-4AC6-A65E-0CCD90A3B69D}">
      <formula1>0</formula1>
      <formula2>100</formula2>
    </dataValidation>
  </dataValidations>
  <hyperlinks>
    <hyperlink ref="J13" r:id="rId1" display="💡 Chalhoub had a 30% effieincy increase" xr:uid="{E543331D-48F0-4930-B770-5528A7BAA808}"/>
  </hyperlinks>
  <pageMargins left="0.19685039370078741" right="0" top="0.35433070866141736" bottom="0" header="0" footer="0"/>
  <pageSetup orientation="landscape" r:id="rId2"/>
  <headerFooter scaleWithDoc="0" alignWithMargins="0"/>
  <ignoredErrors>
    <ignoredError sqref="D7:D8 E15 J9 V7:V8 A9 W8:W10 F16:H16 E18 G18 P16 N16" unlockedFormula="1"/>
  </ignoredErrors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436FA9A9-0F66-44F9-9081-4D48D1739B98}">
            <x14:iconSet iconSet="3Triangles" custom="1">
              <x14:cfvo type="percent">
                <xm:f>0</xm:f>
              </x14:cfvo>
              <x14:cfvo type="percent">
                <xm:f>0</xm:f>
              </x14:cfvo>
              <x14:cfvo type="percent" gte="0">
                <xm:f>0</xm:f>
              </x14:cfvo>
              <x14:cfIcon iconSet="3Triangles" iconId="2"/>
              <x14:cfIcon iconSet="3Triangles" iconId="2"/>
              <x14:cfIcon iconSet="3Triangles" iconId="0"/>
            </x14:iconSet>
          </x14:cfRule>
          <xm:sqref>R18:S18 Q17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F74ABD4-7121-4777-9408-C511BC697562}">
          <x14:formula1>
            <xm:f>Input!$A$1:$A$2</xm:f>
          </x14:formula1>
          <xm:sqref>C4</xm:sqref>
        </x14:dataValidation>
        <x14:dataValidation type="list" allowBlank="1" showInputMessage="1" showErrorMessage="1" xr:uid="{6C8AF6A4-DF30-4B11-9D03-73E3A59E5DD3}">
          <x14:formula1>
            <xm:f>Input!$F$1:$F$3</xm:f>
          </x14:formula1>
          <xm:sqref>C5</xm:sqref>
        </x14:dataValidation>
        <x14:dataValidation type="list" allowBlank="1" showInputMessage="1" showErrorMessage="1" xr:uid="{5BB42A47-A2A9-4F07-8908-8E088E3F64F1}">
          <x14:formula1>
            <xm:f>Input!$H$1:$H$10</xm:f>
          </x14:formula1>
          <xm:sqref>G32:G33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1372-105E-4F56-8811-88E871814753}">
  <dimension ref="A1:R34"/>
  <sheetViews>
    <sheetView topLeftCell="C1" workbookViewId="0">
      <selection activeCell="Q25" sqref="Q25"/>
    </sheetView>
  </sheetViews>
  <sheetFormatPr defaultRowHeight="14.5"/>
  <cols>
    <col min="1" max="1" width="20.453125" bestFit="1" customWidth="1"/>
    <col min="2" max="2" width="10.08984375" bestFit="1" customWidth="1"/>
    <col min="3" max="4" width="12.6328125" bestFit="1" customWidth="1"/>
    <col min="5" max="5" width="12" bestFit="1" customWidth="1"/>
    <col min="6" max="7" width="12.6328125" bestFit="1" customWidth="1"/>
    <col min="8" max="8" width="12" bestFit="1" customWidth="1"/>
    <col min="9" max="10" width="12.6328125" bestFit="1" customWidth="1"/>
    <col min="11" max="11" width="12" bestFit="1" customWidth="1"/>
    <col min="12" max="12" width="12.6328125" bestFit="1" customWidth="1"/>
    <col min="16" max="24" width="11" customWidth="1"/>
    <col min="25" max="25" width="12" customWidth="1"/>
  </cols>
  <sheetData>
    <row r="1" spans="1:18">
      <c r="A1" t="s">
        <v>34</v>
      </c>
      <c r="B1" s="14">
        <v>7.6100000000000001E-2</v>
      </c>
    </row>
    <row r="2" spans="1:18">
      <c r="A2" t="s">
        <v>43</v>
      </c>
      <c r="B2" s="14">
        <v>0.01</v>
      </c>
      <c r="O2">
        <f>'ROI and NPV analsyis'!$G$32+2</f>
        <v>5</v>
      </c>
      <c r="P2" t="s">
        <v>35</v>
      </c>
      <c r="Q2" t="s">
        <v>36</v>
      </c>
      <c r="R2" t="s">
        <v>45</v>
      </c>
    </row>
    <row r="3" spans="1:18">
      <c r="O3">
        <v>0</v>
      </c>
    </row>
    <row r="4" spans="1:18">
      <c r="A4" t="s">
        <v>35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O4">
        <v>1</v>
      </c>
      <c r="P4">
        <f>IF(O4&lt;=$O$2,O4,"")</f>
        <v>1</v>
      </c>
      <c r="Q4">
        <f>IF(P4&lt;&gt;"",C5,"")</f>
        <v>19435.473913043486</v>
      </c>
      <c r="R4">
        <f>IF(P4&lt;&gt;"",C8,"")</f>
        <v>-16938.970436721971</v>
      </c>
    </row>
    <row r="5" spans="1:18">
      <c r="A5" t="s">
        <v>36</v>
      </c>
      <c r="B5">
        <f>-'ROI and NPV analsyis'!G31</f>
        <v>-35000</v>
      </c>
      <c r="C5">
        <f>'ROI and NPV analsyis'!$W$7*(1+$B$2)^C4</f>
        <v>19435.473913043486</v>
      </c>
      <c r="D5">
        <f>'ROI and NPV analsyis'!$W$7*(1+$B$2)^D4</f>
        <v>19629.828652173925</v>
      </c>
      <c r="E5">
        <f>'ROI and NPV analsyis'!$W$7*(1+$B$2)^E4</f>
        <v>19826.126938695659</v>
      </c>
      <c r="F5">
        <f>'ROI and NPV analsyis'!$W$7*(1+$B$2)^F4</f>
        <v>20024.388208082619</v>
      </c>
      <c r="G5">
        <f>'ROI and NPV analsyis'!$W$7*(1+$B$2)^G4</f>
        <v>20224.632090163443</v>
      </c>
      <c r="H5">
        <f>'ROI and NPV analsyis'!$W$7*(1+$B$2)^H4</f>
        <v>20426.878411065081</v>
      </c>
      <c r="I5">
        <f>'ROI and NPV analsyis'!$W$7*(1+$B$2)^I4</f>
        <v>20631.147195175727</v>
      </c>
      <c r="J5">
        <f>'ROI and NPV analsyis'!$W$7*(1+$B$2)^J4</f>
        <v>20837.458667127488</v>
      </c>
      <c r="K5">
        <f>'ROI and NPV analsyis'!$W$7*(1+$B$2)^K4</f>
        <v>21045.833253798766</v>
      </c>
      <c r="L5">
        <f>'ROI and NPV analsyis'!$W$7*(1+$B$2)^L4</f>
        <v>21256.291586336756</v>
      </c>
      <c r="O5">
        <v>2</v>
      </c>
      <c r="P5">
        <f>IF(O5&lt;=$O$2,O5,"")</f>
        <v>2</v>
      </c>
      <c r="Q5">
        <f>IF(P5&lt;&gt;"",D5,"")</f>
        <v>19629.828652173925</v>
      </c>
      <c r="R5">
        <f>IF(P5&lt;&gt;"",D8,"")</f>
        <v>12.651028672327811</v>
      </c>
    </row>
    <row r="6" spans="1:18">
      <c r="A6" t="s">
        <v>37</v>
      </c>
      <c r="B6">
        <f>B5</f>
        <v>-35000</v>
      </c>
      <c r="C6">
        <f>C5/((1+$B$1)^C4)</f>
        <v>18061.029563278029</v>
      </c>
      <c r="D6">
        <f t="shared" ref="D6:K6" si="0">D5/((1+$B$1)^D4)</f>
        <v>16951.621465394306</v>
      </c>
      <c r="E6">
        <f t="shared" si="0"/>
        <v>15910.359334679159</v>
      </c>
      <c r="F6">
        <f t="shared" si="0"/>
        <v>14933.057269794584</v>
      </c>
      <c r="G6">
        <f t="shared" si="0"/>
        <v>14015.786490560846</v>
      </c>
      <c r="H6">
        <f t="shared" si="0"/>
        <v>13154.859544156174</v>
      </c>
      <c r="I6">
        <f t="shared" si="0"/>
        <v>12346.815481458723</v>
      </c>
      <c r="J6">
        <f t="shared" si="0"/>
        <v>11588.405943939515</v>
      </c>
      <c r="K6">
        <f t="shared" si="0"/>
        <v>10876.582105175088</v>
      </c>
      <c r="L6">
        <f>L5/((1+$B$1)^L4)</f>
        <v>10208.482414484562</v>
      </c>
      <c r="O6">
        <v>3</v>
      </c>
      <c r="P6">
        <f>IF(O6&lt;=$O$2,O6,"")</f>
        <v>3</v>
      </c>
      <c r="Q6">
        <f>IF(P6&lt;&gt;"",E5,"")</f>
        <v>19826.126938695659</v>
      </c>
      <c r="R6">
        <f>IF(P6&lt;&gt;"",E8,"")</f>
        <v>15923.010363351495</v>
      </c>
    </row>
    <row r="7" spans="1:18">
      <c r="A7" t="s">
        <v>44</v>
      </c>
      <c r="B7">
        <f>B6</f>
        <v>-35000</v>
      </c>
      <c r="C7">
        <f>SUM($B6:C6)</f>
        <v>-16938.970436721971</v>
      </c>
      <c r="D7">
        <f>SUM($B6:D6)</f>
        <v>12.651028672335087</v>
      </c>
      <c r="E7">
        <f>SUM($B6:E6)</f>
        <v>15923.010363351494</v>
      </c>
      <c r="F7">
        <f>SUM($B6:F6)</f>
        <v>30856.067633146078</v>
      </c>
      <c r="G7">
        <f>SUM($B6:G6)</f>
        <v>44871.854123706922</v>
      </c>
      <c r="H7">
        <f>SUM($B6:H6)</f>
        <v>58026.713667863092</v>
      </c>
      <c r="I7">
        <f>SUM($B6:I6)</f>
        <v>70373.52914932181</v>
      </c>
      <c r="J7">
        <f>SUM($B6:J6)</f>
        <v>81961.935093261331</v>
      </c>
      <c r="K7">
        <f>SUM($B6:K6)</f>
        <v>92838.517198436413</v>
      </c>
      <c r="L7">
        <f>SUM($B6:L6)</f>
        <v>103046.99961292098</v>
      </c>
      <c r="O7">
        <v>4</v>
      </c>
      <c r="P7">
        <f t="shared" ref="P7:P12" si="1">IF(O7&lt;=$O$2,O7,"")</f>
        <v>4</v>
      </c>
      <c r="Q7">
        <f>IF(P7&lt;&gt;"",F5,"")</f>
        <v>20024.388208082619</v>
      </c>
      <c r="R7">
        <f>IF(P7&lt;&gt;"",F8,"")</f>
        <v>30856.067633146071</v>
      </c>
    </row>
    <row r="8" spans="1:18">
      <c r="A8" t="s">
        <v>45</v>
      </c>
      <c r="C8" s="16">
        <f>NPV($B$1,$C$5:C5)+$B$5</f>
        <v>-16938.970436721971</v>
      </c>
      <c r="D8" s="16">
        <f>NPV($B$1,$C$5:D5)+$B$5</f>
        <v>12.651028672327811</v>
      </c>
      <c r="E8" s="16">
        <f>NPV($B$1,$C$5:E5)+$B$5</f>
        <v>15923.010363351495</v>
      </c>
      <c r="F8" s="16">
        <f>NPV($B$1,$C$5:F5)+$B$5</f>
        <v>30856.067633146071</v>
      </c>
      <c r="G8" s="16">
        <f>NPV($B$1,$C$5:G5)+$B$5</f>
        <v>44871.854123706929</v>
      </c>
      <c r="H8" s="16">
        <f>NPV($B$1,$C$5:H5)+$B$5</f>
        <v>58026.713667863107</v>
      </c>
      <c r="I8" s="16">
        <f>NPV($B$1,$C$5:I5)+$B$5</f>
        <v>70373.529149321825</v>
      </c>
      <c r="J8" s="16">
        <f>NPV($B$1,$C$5:J5)+$B$5</f>
        <v>81961.935093261331</v>
      </c>
      <c r="K8" s="16">
        <f>NPV($B$1,$C$5:K5)+$B$5</f>
        <v>92838.517198436413</v>
      </c>
      <c r="L8" s="16">
        <f>NPV($B$1,$C$5:L5)+$B$5</f>
        <v>103046.99961292098</v>
      </c>
      <c r="O8">
        <v>5</v>
      </c>
      <c r="P8">
        <f t="shared" si="1"/>
        <v>5</v>
      </c>
      <c r="Q8">
        <f>IF(P8&lt;&gt;"",G5,"")</f>
        <v>20224.632090163443</v>
      </c>
      <c r="R8">
        <f>IF(P8&lt;&gt;"",G8,"")</f>
        <v>44871.854123706929</v>
      </c>
    </row>
    <row r="9" spans="1:18">
      <c r="C9" s="16"/>
      <c r="D9" s="16"/>
      <c r="E9" s="16"/>
      <c r="F9" s="16"/>
      <c r="G9" s="16"/>
      <c r="H9" s="16"/>
      <c r="I9" s="16"/>
      <c r="J9" s="16"/>
      <c r="K9" s="16"/>
      <c r="L9" s="16"/>
      <c r="O9">
        <v>6</v>
      </c>
      <c r="P9" t="str">
        <f t="shared" si="1"/>
        <v/>
      </c>
      <c r="Q9" t="str">
        <f>IF(P9&lt;&gt;"",H5,"")</f>
        <v/>
      </c>
      <c r="R9" t="str">
        <f>IF(P9&lt;&gt;"",H8,"")</f>
        <v/>
      </c>
    </row>
    <row r="10" spans="1:18">
      <c r="O10">
        <v>7</v>
      </c>
      <c r="P10" t="str">
        <f t="shared" si="1"/>
        <v/>
      </c>
      <c r="Q10" t="str">
        <f>IF(P10&lt;&gt;"",I5,"")</f>
        <v/>
      </c>
      <c r="R10" t="str">
        <f>IF(P10&lt;&gt;"",I8,"")</f>
        <v/>
      </c>
    </row>
    <row r="11" spans="1:18">
      <c r="A11" t="s">
        <v>40</v>
      </c>
      <c r="B11">
        <f>CHOOSE('ROI and NPV analsyis'!G32,Calculation!C11,Calculation!D11,Calculation!E11,Calculation!F11,Calculation!G11,Calculation!H11,Calculation!I11,Calculation!J11,Calculation!K11,Calculation!L11)</f>
        <v>11666.666666666666</v>
      </c>
      <c r="C11">
        <f>'ROI and NPV analsyis'!$G$31/Calculation!C4</f>
        <v>35000</v>
      </c>
      <c r="D11">
        <f>'ROI and NPV analsyis'!$G$31/Calculation!D4</f>
        <v>17500</v>
      </c>
      <c r="E11">
        <f>'ROI and NPV analsyis'!$G$31/Calculation!E4</f>
        <v>11666.666666666666</v>
      </c>
      <c r="F11">
        <f>'ROI and NPV analsyis'!$G$31/Calculation!F4</f>
        <v>8750</v>
      </c>
      <c r="G11">
        <f>'ROI and NPV analsyis'!$G$31/Calculation!G4</f>
        <v>7000</v>
      </c>
      <c r="H11">
        <f>'ROI and NPV analsyis'!$G$31/Calculation!H4</f>
        <v>5833.333333333333</v>
      </c>
      <c r="I11">
        <f>'ROI and NPV analsyis'!$G$31/Calculation!I4</f>
        <v>5000</v>
      </c>
      <c r="J11">
        <f>'ROI and NPV analsyis'!$G$31/Calculation!J4</f>
        <v>4375</v>
      </c>
      <c r="K11">
        <f>'ROI and NPV analsyis'!$G$31/Calculation!K4</f>
        <v>3888.8888888888887</v>
      </c>
      <c r="L11">
        <f>'ROI and NPV analsyis'!$G$31/Calculation!L4</f>
        <v>3500</v>
      </c>
      <c r="O11">
        <v>8</v>
      </c>
      <c r="P11" t="str">
        <f t="shared" si="1"/>
        <v/>
      </c>
      <c r="Q11" t="str">
        <f>IF(P11&lt;&gt;"",J5,"")</f>
        <v/>
      </c>
      <c r="R11" t="str">
        <f>IF(P11&lt;&gt;"",J8,"")</f>
        <v/>
      </c>
    </row>
    <row r="12" spans="1:18">
      <c r="A12" t="s">
        <v>41</v>
      </c>
      <c r="B12">
        <f>C11</f>
        <v>35000</v>
      </c>
      <c r="O12">
        <v>9</v>
      </c>
      <c r="P12" t="str">
        <f t="shared" si="1"/>
        <v/>
      </c>
      <c r="Q12" t="str">
        <f>IF(P12&lt;&gt;"",K5,"")</f>
        <v/>
      </c>
      <c r="R12" t="str">
        <f>IF(P12&lt;&gt;"",K8,"")</f>
        <v/>
      </c>
    </row>
    <row r="13" spans="1:18">
      <c r="A13" t="s">
        <v>46</v>
      </c>
      <c r="C13">
        <f>B12-$B$11</f>
        <v>23333.333333333336</v>
      </c>
      <c r="D13">
        <f>C13-$B$11</f>
        <v>11666.66666666667</v>
      </c>
      <c r="E13">
        <f>D13-$B$11</f>
        <v>0</v>
      </c>
      <c r="F13">
        <f t="shared" ref="F13:L13" si="2">E13-$B$11</f>
        <v>-11666.666666666666</v>
      </c>
      <c r="G13">
        <f t="shared" si="2"/>
        <v>-23333.333333333332</v>
      </c>
      <c r="H13">
        <f t="shared" si="2"/>
        <v>-35000</v>
      </c>
      <c r="I13">
        <f t="shared" si="2"/>
        <v>-46666.666666666664</v>
      </c>
      <c r="J13">
        <f t="shared" si="2"/>
        <v>-58333.333333333328</v>
      </c>
      <c r="K13">
        <f t="shared" si="2"/>
        <v>-70000</v>
      </c>
      <c r="L13">
        <f t="shared" si="2"/>
        <v>-81666.666666666672</v>
      </c>
      <c r="O13">
        <v>10</v>
      </c>
      <c r="P13" t="str">
        <f>IF(O13&lt;=$O$2,O13,"")</f>
        <v/>
      </c>
      <c r="Q13" t="str">
        <f>IF(P13&lt;&gt;"",L5,"")</f>
        <v/>
      </c>
      <c r="R13" t="str">
        <f>IF(P13&lt;&gt;"",L8,"")</f>
        <v/>
      </c>
    </row>
    <row r="14" spans="1:18">
      <c r="A14" t="s">
        <v>39</v>
      </c>
      <c r="C14">
        <f>IF(C13&gt;=0,$B$11,0)</f>
        <v>11666.666666666666</v>
      </c>
      <c r="D14">
        <f t="shared" ref="D14:L14" si="3">IF(D13&gt;=0,$B$11,0)</f>
        <v>11666.666666666666</v>
      </c>
      <c r="E14">
        <f t="shared" si="3"/>
        <v>11666.666666666666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</row>
    <row r="20" spans="1:12">
      <c r="B20">
        <v>0</v>
      </c>
      <c r="C20">
        <v>1</v>
      </c>
      <c r="D20">
        <v>2</v>
      </c>
      <c r="E20">
        <v>3</v>
      </c>
      <c r="F20">
        <v>4</v>
      </c>
      <c r="G20">
        <v>5</v>
      </c>
      <c r="H20">
        <v>6</v>
      </c>
      <c r="I20">
        <v>7</v>
      </c>
      <c r="J20">
        <v>8</v>
      </c>
      <c r="K20">
        <v>9</v>
      </c>
      <c r="L20">
        <v>10</v>
      </c>
    </row>
    <row r="21" spans="1:12">
      <c r="A21" s="14">
        <v>0</v>
      </c>
      <c r="C21">
        <f>('ROI and NPV analsyis'!$N$17-(('ROI and NPV analsyis'!$P$8/('ROI and NPV analsyis'!$P$16*(1+$A21)))*'ROI and NPV analsyis'!$N$16*'ROI and NPV analsyis'!$P$9*8*260))+'ROI and NPV analsyis'!$E$29*(1+$B$2)^C$4</f>
        <v>4090.5</v>
      </c>
      <c r="D21">
        <f>('ROI and NPV analsyis'!$N$17-(('ROI and NPV analsyis'!$P$8/('ROI and NPV analsyis'!$P$16*(1+$A21)))*'ROI and NPV analsyis'!$N$16*'ROI and NPV analsyis'!$P$9*8*260))+'ROI and NPV analsyis'!$E$29*(1+$B$2)^D$4</f>
        <v>4131.4049999999997</v>
      </c>
      <c r="E21">
        <f>('ROI and NPV analsyis'!$N$17-(('ROI and NPV analsyis'!$P$8/('ROI and NPV analsyis'!$P$16*(1+$A21)))*'ROI and NPV analsyis'!$N$16*'ROI and NPV analsyis'!$P$9*8*260))+'ROI and NPV analsyis'!$E$29*(1+$B$2)^E$4</f>
        <v>4172.7190499999997</v>
      </c>
      <c r="F21">
        <f>('ROI and NPV analsyis'!$N$17-(('ROI and NPV analsyis'!$P$8/('ROI and NPV analsyis'!$P$16*(1+$A21)))*'ROI and NPV analsyis'!$N$16*'ROI and NPV analsyis'!$P$9*8*260))+'ROI and NPV analsyis'!$E$29*(1+$B$2)^F$4</f>
        <v>4214.4462405000004</v>
      </c>
      <c r="G21">
        <f>('ROI and NPV analsyis'!$N$17-(('ROI and NPV analsyis'!$P$8/('ROI and NPV analsyis'!$P$16*(1+$A21)))*'ROI and NPV analsyis'!$N$16*'ROI and NPV analsyis'!$P$9*8*260))+'ROI and NPV analsyis'!$E$29*(1+$B$2)^G$4</f>
        <v>4256.5907029049995</v>
      </c>
      <c r="H21">
        <f>('ROI and NPV analsyis'!$N$17-(('ROI and NPV analsyis'!$P$8/('ROI and NPV analsyis'!$P$16*(1+$A21)))*'ROI and NPV analsyis'!$N$16*'ROI and NPV analsyis'!$P$9*8*260))+'ROI and NPV analsyis'!$E$29*(1+$B$2)^H$4</f>
        <v>4299.1566099340507</v>
      </c>
      <c r="I21">
        <f>('ROI and NPV analsyis'!$N$17-(('ROI and NPV analsyis'!$P$8/('ROI and NPV analsyis'!$P$16*(1+$A21)))*'ROI and NPV analsyis'!$N$16*'ROI and NPV analsyis'!$P$9*8*260))+'ROI and NPV analsyis'!$E$29*(1+$B$2)^I$4</f>
        <v>4342.14817603339</v>
      </c>
      <c r="J21">
        <f>('ROI and NPV analsyis'!$N$17-(('ROI and NPV analsyis'!$P$8/('ROI and NPV analsyis'!$P$16*(1+$A21)))*'ROI and NPV analsyis'!$N$16*'ROI and NPV analsyis'!$P$9*8*260))+'ROI and NPV analsyis'!$E$29*(1+$B$2)^J$4</f>
        <v>4385.5696577937251</v>
      </c>
      <c r="K21">
        <f>('ROI and NPV analsyis'!$N$17-(('ROI and NPV analsyis'!$P$8/('ROI and NPV analsyis'!$P$16*(1+$A21)))*'ROI and NPV analsyis'!$N$16*'ROI and NPV analsyis'!$P$9*8*260))+'ROI and NPV analsyis'!$E$29*(1+$B$2)^K$4</f>
        <v>4429.4253543716623</v>
      </c>
      <c r="L21">
        <f>('ROI and NPV analsyis'!$N$17-(('ROI and NPV analsyis'!$P$8/('ROI and NPV analsyis'!$P$16*(1+$A21)))*'ROI and NPV analsyis'!$N$16*'ROI and NPV analsyis'!$P$9*8*260))+'ROI and NPV analsyis'!$E$29*(1+$B$2)^L$4</f>
        <v>4473.7196079153791</v>
      </c>
    </row>
    <row r="22" spans="1:12">
      <c r="A22" s="14">
        <v>0</v>
      </c>
      <c r="C22" s="16">
        <f>NPV($B$1,$C$21:C21)-$B$12</f>
        <v>-31198.773348201841</v>
      </c>
      <c r="D22" s="16">
        <f>NPV($B$1,$C$21:D21)-$B$12</f>
        <v>-27631.039012809088</v>
      </c>
      <c r="E22" s="16">
        <f>NPV($B$1,$C$21:E21)-$B$12</f>
        <v>-24282.45460732012</v>
      </c>
      <c r="F22" s="16">
        <f>NPV($B$1,$C$21:F21)-$B$12</f>
        <v>-21139.558733754595</v>
      </c>
      <c r="G22" s="16">
        <f>NPV($B$1,$C$21:G21)-$B$12</f>
        <v>-18189.716867477131</v>
      </c>
      <c r="H22" s="16">
        <f>NPV($B$1,$C$21:H21)-$B$12</f>
        <v>-15421.070566073697</v>
      </c>
      <c r="I22" s="16">
        <f>NPV($B$1,$C$21:I21)-$B$12</f>
        <v>-12822.48979809909</v>
      </c>
      <c r="J22" s="16">
        <f>NPV($B$1,$C$21:J21)-$B$12</f>
        <v>-10383.528200055833</v>
      </c>
      <c r="K22" s="16">
        <f>NPV($B$1,$C$21:K21)-$B$12</f>
        <v>-8094.3810817362646</v>
      </c>
      <c r="L22" s="16">
        <f>NPV($B$1,$C$21:L21)-$B$12</f>
        <v>-5945.8460111082859</v>
      </c>
    </row>
    <row r="23" spans="1:12">
      <c r="A23" s="14">
        <v>0.05</v>
      </c>
      <c r="C23">
        <f>('ROI and NPV analsyis'!$N$17-(('ROI and NPV analsyis'!$P$8/('ROI and NPV analsyis'!$P$16*(1+$A23)))*'ROI and NPV analsyis'!$N$16*'ROI and NPV analsyis'!$P$9*8*260))+'ROI and NPV analsyis'!$E$29*(1+$B$2)^C$4</f>
        <v>9637.1666666666715</v>
      </c>
      <c r="D23">
        <f>('ROI and NPV analsyis'!$N$17-(('ROI and NPV analsyis'!$P$8/('ROI and NPV analsyis'!$P$16*(1+$A23)))*'ROI and NPV analsyis'!$N$16*'ROI and NPV analsyis'!$P$9*8*260))+'ROI and NPV analsyis'!$E$29*(1+$B$2)^D$4</f>
        <v>9678.0716666666704</v>
      </c>
      <c r="E23">
        <f>('ROI and NPV analsyis'!$N$17-(('ROI and NPV analsyis'!$P$8/('ROI and NPV analsyis'!$P$16*(1+$A23)))*'ROI and NPV analsyis'!$N$16*'ROI and NPV analsyis'!$P$9*8*260))+'ROI and NPV analsyis'!$E$29*(1+$B$2)^E$4</f>
        <v>9719.3857166666712</v>
      </c>
      <c r="F23">
        <f>('ROI and NPV analsyis'!$N$17-(('ROI and NPV analsyis'!$P$8/('ROI and NPV analsyis'!$P$16*(1+$A23)))*'ROI and NPV analsyis'!$N$16*'ROI and NPV analsyis'!$P$9*8*260))+'ROI and NPV analsyis'!$E$29*(1+$B$2)^F$4</f>
        <v>9761.1129071666728</v>
      </c>
      <c r="G23">
        <f>('ROI and NPV analsyis'!$N$17-(('ROI and NPV analsyis'!$P$8/('ROI and NPV analsyis'!$P$16*(1+$A23)))*'ROI and NPV analsyis'!$N$16*'ROI and NPV analsyis'!$P$9*8*260))+'ROI and NPV analsyis'!$E$29*(1+$B$2)^G$4</f>
        <v>9803.257369571671</v>
      </c>
      <c r="H23">
        <f>('ROI and NPV analsyis'!$N$17-(('ROI and NPV analsyis'!$P$8/('ROI and NPV analsyis'!$P$16*(1+$A23)))*'ROI and NPV analsyis'!$N$16*'ROI and NPV analsyis'!$P$9*8*260))+'ROI and NPV analsyis'!$E$29*(1+$B$2)^H$4</f>
        <v>9845.8232766007222</v>
      </c>
      <c r="I23">
        <f>('ROI and NPV analsyis'!$N$17-(('ROI and NPV analsyis'!$P$8/('ROI and NPV analsyis'!$P$16*(1+$A23)))*'ROI and NPV analsyis'!$N$16*'ROI and NPV analsyis'!$P$9*8*260))+'ROI and NPV analsyis'!$E$29*(1+$B$2)^I$4</f>
        <v>9888.8148427000615</v>
      </c>
      <c r="J23">
        <f>('ROI and NPV analsyis'!$N$17-(('ROI and NPV analsyis'!$P$8/('ROI and NPV analsyis'!$P$16*(1+$A23)))*'ROI and NPV analsyis'!$N$16*'ROI and NPV analsyis'!$P$9*8*260))+'ROI and NPV analsyis'!$E$29*(1+$B$2)^J$4</f>
        <v>9932.2363244603966</v>
      </c>
      <c r="K23">
        <f>('ROI and NPV analsyis'!$N$17-(('ROI and NPV analsyis'!$P$8/('ROI and NPV analsyis'!$P$16*(1+$A23)))*'ROI and NPV analsyis'!$N$16*'ROI and NPV analsyis'!$P$9*8*260))+'ROI and NPV analsyis'!$E$29*(1+$B$2)^K$4</f>
        <v>9976.0920210383338</v>
      </c>
      <c r="L23">
        <f>('ROI and NPV analsyis'!$N$17-(('ROI and NPV analsyis'!$P$8/('ROI and NPV analsyis'!$P$16*(1+$A23)))*'ROI and NPV analsyis'!$N$16*'ROI and NPV analsyis'!$P$9*8*260))+'ROI and NPV analsyis'!$E$29*(1+$B$2)^L$4</f>
        <v>10020.386274582052</v>
      </c>
    </row>
    <row r="24" spans="1:12">
      <c r="A24" s="14">
        <v>0.05</v>
      </c>
      <c r="C24" s="16">
        <f>NPV($B$1,$C$23:C23)-$B$12</f>
        <v>-26044.357711489014</v>
      </c>
      <c r="D24" s="16">
        <f>NPV($B$1,$C$23:D23)-$B$12</f>
        <v>-17686.719429703895</v>
      </c>
      <c r="E24" s="16">
        <f>NPV($B$1,$C$23:E23)-$B$12</f>
        <v>-9886.9651084149409</v>
      </c>
      <c r="F24" s="16">
        <f>NPV($B$1,$C$23:F23)-$B$12</f>
        <v>-2607.6786430828615</v>
      </c>
      <c r="G24" s="16">
        <f>NPV($B$1,$C$23:G23)-$B$12</f>
        <v>4186.0351605299365</v>
      </c>
      <c r="H24" s="16">
        <f>NPV($B$1,$C$23:H23)-$B$12</f>
        <v>10526.721176955522</v>
      </c>
      <c r="I24" s="16">
        <f>NPV($B$1,$C$23:I23)-$B$12</f>
        <v>16444.732959726287</v>
      </c>
      <c r="J24" s="16">
        <f>NPV($B$1,$C$23:J23)-$B$12</f>
        <v>21968.380938957314</v>
      </c>
      <c r="K24" s="16">
        <f>NPV($B$1,$C$23:K23)-$B$12</f>
        <v>27124.070554431215</v>
      </c>
      <c r="L24" s="16">
        <f>NPV($B$1,$C$23:L23)-$B$12</f>
        <v>31936.431010389861</v>
      </c>
    </row>
    <row r="25" spans="1:12">
      <c r="A25" s="14">
        <v>0.1</v>
      </c>
      <c r="C25">
        <f>('ROI and NPV analsyis'!$N$17-(('ROI and NPV analsyis'!$P$8/('ROI and NPV analsyis'!$P$16*(1+$A25)))*'ROI and NPV analsyis'!$N$16*'ROI and NPV analsyis'!$P$9*8*260))+'ROI and NPV analsyis'!$E$29*(1+$B$2)^C$4</f>
        <v>14679.590909090912</v>
      </c>
      <c r="D25">
        <f>('ROI and NPV analsyis'!$N$17-(('ROI and NPV analsyis'!$P$8/('ROI and NPV analsyis'!$P$16*(1+$A25)))*'ROI and NPV analsyis'!$N$16*'ROI and NPV analsyis'!$P$9*8*260))+'ROI and NPV analsyis'!$E$29*(1+$B$2)^D$4</f>
        <v>14720.495909090911</v>
      </c>
      <c r="E25">
        <f>('ROI and NPV analsyis'!$N$17-(('ROI and NPV analsyis'!$P$8/('ROI and NPV analsyis'!$P$16*(1+$A25)))*'ROI and NPV analsyis'!$N$16*'ROI and NPV analsyis'!$P$9*8*260))+'ROI and NPV analsyis'!$E$29*(1+$B$2)^E$4</f>
        <v>14761.809959090911</v>
      </c>
      <c r="F25">
        <f>('ROI and NPV analsyis'!$N$17-(('ROI and NPV analsyis'!$P$8/('ROI and NPV analsyis'!$P$16*(1+$A25)))*'ROI and NPV analsyis'!$N$16*'ROI and NPV analsyis'!$P$9*8*260))+'ROI and NPV analsyis'!$E$29*(1+$B$2)^F$4</f>
        <v>14803.537149590913</v>
      </c>
      <c r="G25">
        <f>('ROI and NPV analsyis'!$N$17-(('ROI and NPV analsyis'!$P$8/('ROI and NPV analsyis'!$P$16*(1+$A25)))*'ROI and NPV analsyis'!$N$16*'ROI and NPV analsyis'!$P$9*8*260))+'ROI and NPV analsyis'!$E$29*(1+$B$2)^G$4</f>
        <v>14845.681611995911</v>
      </c>
      <c r="H25">
        <f>('ROI and NPV analsyis'!$N$17-(('ROI and NPV analsyis'!$P$8/('ROI and NPV analsyis'!$P$16*(1+$A25)))*'ROI and NPV analsyis'!$N$16*'ROI and NPV analsyis'!$P$9*8*260))+'ROI and NPV analsyis'!$E$29*(1+$B$2)^H$4</f>
        <v>14888.247519024962</v>
      </c>
      <c r="I25">
        <f>('ROI and NPV analsyis'!$N$17-(('ROI and NPV analsyis'!$P$8/('ROI and NPV analsyis'!$P$16*(1+$A25)))*'ROI and NPV analsyis'!$N$16*'ROI and NPV analsyis'!$P$9*8*260))+'ROI and NPV analsyis'!$E$29*(1+$B$2)^I$4</f>
        <v>14931.239085124302</v>
      </c>
      <c r="J25">
        <f>('ROI and NPV analsyis'!$N$17-(('ROI and NPV analsyis'!$P$8/('ROI and NPV analsyis'!$P$16*(1+$A25)))*'ROI and NPV analsyis'!$N$16*'ROI and NPV analsyis'!$P$9*8*260))+'ROI and NPV analsyis'!$E$29*(1+$B$2)^J$4</f>
        <v>14974.660566884637</v>
      </c>
      <c r="K25">
        <f>('ROI and NPV analsyis'!$N$17-(('ROI and NPV analsyis'!$P$8/('ROI and NPV analsyis'!$P$16*(1+$A25)))*'ROI and NPV analsyis'!$N$16*'ROI and NPV analsyis'!$P$9*8*260))+'ROI and NPV analsyis'!$E$29*(1+$B$2)^K$4</f>
        <v>15018.516263462574</v>
      </c>
      <c r="L25">
        <f>('ROI and NPV analsyis'!$N$17-(('ROI and NPV analsyis'!$P$8/('ROI and NPV analsyis'!$P$16*(1+$A25)))*'ROI and NPV analsyis'!$N$16*'ROI and NPV analsyis'!$P$9*8*260))+'ROI and NPV analsyis'!$E$29*(1+$B$2)^L$4</f>
        <v>15062.810517006292</v>
      </c>
    </row>
    <row r="26" spans="1:12">
      <c r="A26" s="14">
        <v>0.1</v>
      </c>
      <c r="C26" s="16">
        <f>NPV($B$1,$C$25:C25)-$B$12</f>
        <v>-21358.52531447736</v>
      </c>
      <c r="D26" s="16">
        <f>NPV($B$1,$C$25:D25)-$B$12</f>
        <v>-8646.4288996082796</v>
      </c>
      <c r="E26" s="16">
        <f>NPV($B$1,$C$25:E25)-$B$12</f>
        <v>3199.8435269533875</v>
      </c>
      <c r="F26" s="16">
        <f>NPV($B$1,$C$25:F25)-$B$12</f>
        <v>14239.485075709599</v>
      </c>
      <c r="G26" s="16">
        <f>NPV($B$1,$C$25:G25)-$B$12</f>
        <v>24527.627913263605</v>
      </c>
      <c r="H26" s="16">
        <f>NPV($B$1,$C$25:H25)-$B$12</f>
        <v>34115.622761527498</v>
      </c>
      <c r="I26" s="16">
        <f>NPV($B$1,$C$25:I25)-$B$12</f>
        <v>43051.299103203855</v>
      </c>
      <c r="J26" s="16">
        <f>NPV($B$1,$C$25:J25)-$B$12</f>
        <v>51379.207428969225</v>
      </c>
      <c r="K26" s="16">
        <f>NPV($B$1,$C$25:K25)-$B$12</f>
        <v>59140.844769128875</v>
      </c>
      <c r="L26" s="16">
        <f>NPV($B$1,$C$25:L25)-$B$12</f>
        <v>66374.864666297202</v>
      </c>
    </row>
    <row r="27" spans="1:12">
      <c r="A27" s="14">
        <v>0.15</v>
      </c>
      <c r="C27">
        <f>('ROI and NPV analsyis'!$N$17-(('ROI and NPV analsyis'!$P$8/('ROI and NPV analsyis'!$P$16*(1+$A27)))*'ROI and NPV analsyis'!$N$16*'ROI and NPV analsyis'!$P$9*8*260))+'ROI and NPV analsyis'!$E$29*(1+$B$2)^C$4</f>
        <v>19283.543478260879</v>
      </c>
      <c r="D27">
        <f>('ROI and NPV analsyis'!$N$17-(('ROI and NPV analsyis'!$P$8/('ROI and NPV analsyis'!$P$16*(1+$A27)))*'ROI and NPV analsyis'!$N$16*'ROI and NPV analsyis'!$P$9*8*260))+'ROI and NPV analsyis'!$E$29*(1+$B$2)^D$4</f>
        <v>19324.448478260878</v>
      </c>
      <c r="E27">
        <f>('ROI and NPV analsyis'!$N$17-(('ROI and NPV analsyis'!$P$8/('ROI and NPV analsyis'!$P$16*(1+$A27)))*'ROI and NPV analsyis'!$N$16*'ROI and NPV analsyis'!$P$9*8*260))+'ROI and NPV analsyis'!$E$29*(1+$B$2)^E$4</f>
        <v>19365.762528260879</v>
      </c>
      <c r="F27">
        <f>('ROI and NPV analsyis'!$N$17-(('ROI and NPV analsyis'!$P$8/('ROI and NPV analsyis'!$P$16*(1+$A27)))*'ROI and NPV analsyis'!$N$16*'ROI and NPV analsyis'!$P$9*8*260))+'ROI and NPV analsyis'!$E$29*(1+$B$2)^F$4</f>
        <v>19407.48971876088</v>
      </c>
      <c r="G27">
        <f>('ROI and NPV analsyis'!$N$17-(('ROI and NPV analsyis'!$P$8/('ROI and NPV analsyis'!$P$16*(1+$A27)))*'ROI and NPV analsyis'!$N$16*'ROI and NPV analsyis'!$P$9*8*260))+'ROI and NPV analsyis'!$E$29*(1+$B$2)^G$4</f>
        <v>19449.634181165879</v>
      </c>
      <c r="H27">
        <f>('ROI and NPV analsyis'!$N$17-(('ROI and NPV analsyis'!$P$8/('ROI and NPV analsyis'!$P$16*(1+$A27)))*'ROI and NPV analsyis'!$N$16*'ROI and NPV analsyis'!$P$9*8*260))+'ROI and NPV analsyis'!$E$29*(1+$B$2)^H$4</f>
        <v>19492.200088194928</v>
      </c>
      <c r="I27">
        <f>('ROI and NPV analsyis'!$N$17-(('ROI and NPV analsyis'!$P$8/('ROI and NPV analsyis'!$P$16*(1+$A27)))*'ROI and NPV analsyis'!$N$16*'ROI and NPV analsyis'!$P$9*8*260))+'ROI and NPV analsyis'!$E$29*(1+$B$2)^I$4</f>
        <v>19535.191654294271</v>
      </c>
      <c r="J27">
        <f>('ROI and NPV analsyis'!$N$17-(('ROI and NPV analsyis'!$P$8/('ROI and NPV analsyis'!$P$16*(1+$A27)))*'ROI and NPV analsyis'!$N$16*'ROI and NPV analsyis'!$P$9*8*260))+'ROI and NPV analsyis'!$E$29*(1+$B$2)^J$4</f>
        <v>19578.613136054606</v>
      </c>
      <c r="K27">
        <f>('ROI and NPV analsyis'!$N$17-(('ROI and NPV analsyis'!$P$8/('ROI and NPV analsyis'!$P$16*(1+$A27)))*'ROI and NPV analsyis'!$N$16*'ROI and NPV analsyis'!$P$9*8*260))+'ROI and NPV analsyis'!$E$29*(1+$B$2)^K$4</f>
        <v>19622.468832632541</v>
      </c>
      <c r="L27">
        <f>('ROI and NPV analsyis'!$N$17-(('ROI and NPV analsyis'!$P$8/('ROI and NPV analsyis'!$P$16*(1+$A27)))*'ROI and NPV analsyis'!$N$16*'ROI and NPV analsyis'!$P$9*8*260))+'ROI and NPV analsyis'!$E$29*(1+$B$2)^L$4</f>
        <v>19666.763086176259</v>
      </c>
    </row>
    <row r="28" spans="1:12">
      <c r="A28" s="14">
        <v>0.15</v>
      </c>
      <c r="C28">
        <f>NPV($B$1,$C$27:C27)-$B$12</f>
        <v>-17080.156604162366</v>
      </c>
      <c r="D28">
        <f>NPV($B$1,$C$27:D27)-$B$12</f>
        <v>-392.25058952096151</v>
      </c>
      <c r="E28">
        <f>NPV($B$1,$C$27:E27)-$B$12</f>
        <v>15148.668802724489</v>
      </c>
      <c r="F28">
        <f>NPV($B$1,$C$27:F27)-$B$12</f>
        <v>29621.678036346224</v>
      </c>
      <c r="G28">
        <f>NPV($B$1,$C$27:G27)-$B$12</f>
        <v>43100.386513585676</v>
      </c>
      <c r="H28">
        <f>NPV($B$1,$C$27:H27)-$B$12</f>
        <v>55653.315512658475</v>
      </c>
      <c r="I28">
        <f>NPV($B$1,$C$27:I27)-$B$12</f>
        <v>67344.25079942256</v>
      </c>
      <c r="J28">
        <f>NPV($B$1,$C$27:J27)-$B$12</f>
        <v>78232.570745936653</v>
      </c>
      <c r="K28">
        <f>NPV($B$1,$C$27:K27)-$B$12</f>
        <v>88373.551660809375</v>
      </c>
      <c r="L28">
        <f>NPV($B$1,$C$27:L27)-$B$12</f>
        <v>97818.651917343086</v>
      </c>
    </row>
    <row r="29" spans="1:12">
      <c r="A29" s="14">
        <v>0.2</v>
      </c>
      <c r="C29">
        <f>('ROI and NPV analsyis'!$N$17-(('ROI and NPV analsyis'!$P$8/('ROI and NPV analsyis'!$P$16*(1+$A29)))*'ROI and NPV analsyis'!$N$16*'ROI and NPV analsyis'!$P$9*8*260))+'ROI and NPV analsyis'!$E$29*(1+$B$2)^C$4</f>
        <v>23503.833333333343</v>
      </c>
      <c r="D29">
        <f>('ROI and NPV analsyis'!$N$17-(('ROI and NPV analsyis'!$P$8/('ROI and NPV analsyis'!$P$16*(1+$A29)))*'ROI and NPV analsyis'!$N$16*'ROI and NPV analsyis'!$P$9*8*260))+'ROI and NPV analsyis'!$E$29*(1+$B$2)^D$4</f>
        <v>23544.738333333342</v>
      </c>
      <c r="E29">
        <f>('ROI and NPV analsyis'!$N$17-(('ROI and NPV analsyis'!$P$8/('ROI and NPV analsyis'!$P$16*(1+$A29)))*'ROI and NPV analsyis'!$N$16*'ROI and NPV analsyis'!$P$9*8*260))+'ROI and NPV analsyis'!$E$29*(1+$B$2)^E$4</f>
        <v>23586.052383333343</v>
      </c>
      <c r="F29">
        <f>('ROI and NPV analsyis'!$N$17-(('ROI and NPV analsyis'!$P$8/('ROI and NPV analsyis'!$P$16*(1+$A29)))*'ROI and NPV analsyis'!$N$16*'ROI and NPV analsyis'!$P$9*8*260))+'ROI and NPV analsyis'!$E$29*(1+$B$2)^F$4</f>
        <v>23627.779573833344</v>
      </c>
      <c r="G29">
        <f>('ROI and NPV analsyis'!$N$17-(('ROI and NPV analsyis'!$P$8/('ROI and NPV analsyis'!$P$16*(1+$A29)))*'ROI and NPV analsyis'!$N$16*'ROI and NPV analsyis'!$P$9*8*260))+'ROI and NPV analsyis'!$E$29*(1+$B$2)^G$4</f>
        <v>23669.924036238343</v>
      </c>
      <c r="H29">
        <f>('ROI and NPV analsyis'!$N$17-(('ROI and NPV analsyis'!$P$8/('ROI and NPV analsyis'!$P$16*(1+$A29)))*'ROI and NPV analsyis'!$N$16*'ROI and NPV analsyis'!$P$9*8*260))+'ROI and NPV analsyis'!$E$29*(1+$B$2)^H$4</f>
        <v>23712.489943267392</v>
      </c>
      <c r="I29">
        <f>('ROI and NPV analsyis'!$N$17-(('ROI and NPV analsyis'!$P$8/('ROI and NPV analsyis'!$P$16*(1+$A29)))*'ROI and NPV analsyis'!$N$16*'ROI and NPV analsyis'!$P$9*8*260))+'ROI and NPV analsyis'!$E$29*(1+$B$2)^I$4</f>
        <v>23755.481509366735</v>
      </c>
      <c r="J29">
        <f>('ROI and NPV analsyis'!$N$17-(('ROI and NPV analsyis'!$P$8/('ROI and NPV analsyis'!$P$16*(1+$A29)))*'ROI and NPV analsyis'!$N$16*'ROI and NPV analsyis'!$P$9*8*260))+'ROI and NPV analsyis'!$E$29*(1+$B$2)^J$4</f>
        <v>23798.90299112707</v>
      </c>
      <c r="K29">
        <f>('ROI and NPV analsyis'!$N$17-(('ROI and NPV analsyis'!$P$8/('ROI and NPV analsyis'!$P$16*(1+$A29)))*'ROI and NPV analsyis'!$N$16*'ROI and NPV analsyis'!$P$9*8*260))+'ROI and NPV analsyis'!$E$29*(1+$B$2)^K$4</f>
        <v>23842.758687705005</v>
      </c>
      <c r="L29">
        <f>('ROI and NPV analsyis'!$N$17-(('ROI and NPV analsyis'!$P$8/('ROI and NPV analsyis'!$P$16*(1+$A29)))*'ROI and NPV analsyis'!$N$16*'ROI and NPV analsyis'!$P$9*8*260))+'ROI and NPV analsyis'!$E$29*(1+$B$2)^L$4</f>
        <v>23887.052941248723</v>
      </c>
    </row>
    <row r="30" spans="1:12">
      <c r="A30" s="14">
        <v>0.2</v>
      </c>
      <c r="C30">
        <f>NPV($B$1,$C$29:C29)-$B$12</f>
        <v>-13158.318619706959</v>
      </c>
      <c r="D30">
        <f>NPV($B$1,$C$29:D29)-$B$12</f>
        <v>7174.0795280590683</v>
      </c>
      <c r="E30">
        <f>NPV($B$1,$C$29:E29)-$B$12</f>
        <v>26101.758638847976</v>
      </c>
      <c r="F30">
        <f>NPV($B$1,$C$29:F29)-$B$12</f>
        <v>43722.021583596434</v>
      </c>
      <c r="G30">
        <f>NPV($B$1,$C$29:G29)-$B$12</f>
        <v>60125.415230547558</v>
      </c>
      <c r="H30">
        <f>NPV($B$1,$C$29:H29)-$B$12</f>
        <v>75396.200534528514</v>
      </c>
      <c r="I30">
        <f>NPV($B$1,$C$29:I29)-$B$12</f>
        <v>89612.789854289673</v>
      </c>
      <c r="J30">
        <f>NPV($B$1,$C$29:J29)-$B$12</f>
        <v>102848.15378649012</v>
      </c>
      <c r="K30">
        <f>NPV($B$1,$C$29:K29)-$B$12</f>
        <v>115170.19964484984</v>
      </c>
      <c r="L30">
        <f>NPV($B$1,$C$29:L29)-$B$12</f>
        <v>126642.12356413514</v>
      </c>
    </row>
    <row r="31" spans="1:12">
      <c r="A31" s="14">
        <v>0.25</v>
      </c>
      <c r="C31">
        <f>('ROI and NPV analsyis'!$N$17-(('ROI and NPV analsyis'!$P$8/('ROI and NPV analsyis'!$P$16*(1+$A31)))*'ROI and NPV analsyis'!$N$16*'ROI and NPV analsyis'!$P$9*8*260))+'ROI and NPV analsyis'!$E$29*(1+$B$2)^C$4</f>
        <v>27386.499999999985</v>
      </c>
      <c r="D31">
        <f>('ROI and NPV analsyis'!$N$17-(('ROI and NPV analsyis'!$P$8/('ROI and NPV analsyis'!$P$16*(1+$A31)))*'ROI and NPV analsyis'!$N$16*'ROI and NPV analsyis'!$P$9*8*260))+'ROI and NPV analsyis'!$E$29*(1+$B$2)^D$4</f>
        <v>27427.404999999984</v>
      </c>
      <c r="E31">
        <f>('ROI and NPV analsyis'!$N$17-(('ROI and NPV analsyis'!$P$8/('ROI and NPV analsyis'!$P$16*(1+$A31)))*'ROI and NPV analsyis'!$N$16*'ROI and NPV analsyis'!$P$9*8*260))+'ROI and NPV analsyis'!$E$29*(1+$B$2)^E$4</f>
        <v>27468.719049999985</v>
      </c>
      <c r="F31">
        <f>('ROI and NPV analsyis'!$N$17-(('ROI and NPV analsyis'!$P$8/('ROI and NPV analsyis'!$P$16*(1+$A31)))*'ROI and NPV analsyis'!$N$16*'ROI and NPV analsyis'!$P$9*8*260))+'ROI and NPV analsyis'!$E$29*(1+$B$2)^F$4</f>
        <v>27510.446240499987</v>
      </c>
      <c r="G31">
        <f>('ROI and NPV analsyis'!$N$17-(('ROI and NPV analsyis'!$P$8/('ROI and NPV analsyis'!$P$16*(1+$A31)))*'ROI and NPV analsyis'!$N$16*'ROI and NPV analsyis'!$P$9*8*260))+'ROI and NPV analsyis'!$E$29*(1+$B$2)^G$4</f>
        <v>27552.590702904985</v>
      </c>
      <c r="H31">
        <f>('ROI and NPV analsyis'!$N$17-(('ROI and NPV analsyis'!$P$8/('ROI and NPV analsyis'!$P$16*(1+$A31)))*'ROI and NPV analsyis'!$N$16*'ROI and NPV analsyis'!$P$9*8*260))+'ROI and NPV analsyis'!$E$29*(1+$B$2)^H$4</f>
        <v>27595.156609934034</v>
      </c>
      <c r="I31">
        <f>('ROI and NPV analsyis'!$N$17-(('ROI and NPV analsyis'!$P$8/('ROI and NPV analsyis'!$P$16*(1+$A31)))*'ROI and NPV analsyis'!$N$16*'ROI and NPV analsyis'!$P$9*8*260))+'ROI and NPV analsyis'!$E$29*(1+$B$2)^I$4</f>
        <v>27638.148176033377</v>
      </c>
      <c r="J31">
        <f>('ROI and NPV analsyis'!$N$17-(('ROI and NPV analsyis'!$P$8/('ROI and NPV analsyis'!$P$16*(1+$A31)))*'ROI and NPV analsyis'!$N$16*'ROI and NPV analsyis'!$P$9*8*260))+'ROI and NPV analsyis'!$E$29*(1+$B$2)^J$4</f>
        <v>27681.569657793712</v>
      </c>
      <c r="K31">
        <f>('ROI and NPV analsyis'!$N$17-(('ROI and NPV analsyis'!$P$8/('ROI and NPV analsyis'!$P$16*(1+$A31)))*'ROI and NPV analsyis'!$N$16*'ROI and NPV analsyis'!$P$9*8*260))+'ROI and NPV analsyis'!$E$29*(1+$B$2)^K$4</f>
        <v>27725.425354371648</v>
      </c>
      <c r="L31">
        <f>('ROI and NPV analsyis'!$N$17-(('ROI and NPV analsyis'!$P$8/('ROI and NPV analsyis'!$P$16*(1+$A31)))*'ROI and NPV analsyis'!$N$16*'ROI and NPV analsyis'!$P$9*8*260))+'ROI and NPV analsyis'!$E$29*(1+$B$2)^L$4</f>
        <v>27769.719607915365</v>
      </c>
    </row>
    <row r="32" spans="1:12">
      <c r="A32" s="14">
        <v>0.25</v>
      </c>
      <c r="C32">
        <f>NPV($B$1,$C$31:C31)-$B$12</f>
        <v>-9550.2276740080051</v>
      </c>
      <c r="D32">
        <f>NPV($B$1,$C$31:D31)-$B$12</f>
        <v>14135.103236232651</v>
      </c>
      <c r="E32">
        <f>NPV($B$1,$C$31:E31)-$B$12</f>
        <v>36178.60128808154</v>
      </c>
      <c r="F32">
        <f>NPV($B$1,$C$31:F31)-$B$12</f>
        <v>56694.337647066553</v>
      </c>
      <c r="G32">
        <f>NPV($B$1,$C$31:G31)-$B$12</f>
        <v>75788.441650152396</v>
      </c>
      <c r="H32">
        <f>NPV($B$1,$C$31:H31)-$B$12</f>
        <v>93559.654754648829</v>
      </c>
      <c r="I32">
        <f>NPV($B$1,$C$31:I31)-$B$12</f>
        <v>110099.84578476727</v>
      </c>
      <c r="J32">
        <f>NPV($B$1,$C$31:J31)-$B$12</f>
        <v>125494.49018379915</v>
      </c>
      <c r="K32">
        <f>NPV($B$1,$C$31:K31)-$B$12</f>
        <v>139823.11579016686</v>
      </c>
      <c r="L32">
        <f>NPV($B$1,$C$31:L31)-$B$12</f>
        <v>153159.71747918363</v>
      </c>
    </row>
    <row r="33" spans="1:12">
      <c r="A33" s="14">
        <v>0.3</v>
      </c>
      <c r="C33">
        <f>('ROI and NPV analsyis'!$N$17-(('ROI and NPV analsyis'!$P$8/('ROI and NPV analsyis'!$P$16*(1+$A33)))*'ROI and NPV analsyis'!$N$16*'ROI and NPV analsyis'!$P$9*8*260))+'ROI and NPV analsyis'!$E$29*(1+$B$2)^C$4</f>
        <v>30970.500000000015</v>
      </c>
      <c r="D33">
        <f>('ROI and NPV analsyis'!$N$17-(('ROI and NPV analsyis'!$P$8/('ROI and NPV analsyis'!$P$16*(1+$A33)))*'ROI and NPV analsyis'!$N$16*'ROI and NPV analsyis'!$P$9*8*260))+'ROI and NPV analsyis'!$E$29*(1+$B$2)^D$4</f>
        <v>31011.405000000013</v>
      </c>
      <c r="E33">
        <f>('ROI and NPV analsyis'!$N$17-(('ROI and NPV analsyis'!$P$8/('ROI and NPV analsyis'!$P$16*(1+$A33)))*'ROI and NPV analsyis'!$N$16*'ROI and NPV analsyis'!$P$9*8*260))+'ROI and NPV analsyis'!$E$29*(1+$B$2)^E$4</f>
        <v>31052.719050000014</v>
      </c>
      <c r="F33">
        <f>('ROI and NPV analsyis'!$N$17-(('ROI and NPV analsyis'!$P$8/('ROI and NPV analsyis'!$P$16*(1+$A33)))*'ROI and NPV analsyis'!$N$16*'ROI and NPV analsyis'!$P$9*8*260))+'ROI and NPV analsyis'!$E$29*(1+$B$2)^F$4</f>
        <v>31094.446240500016</v>
      </c>
      <c r="G33">
        <f>('ROI and NPV analsyis'!$N$17-(('ROI and NPV analsyis'!$P$8/('ROI and NPV analsyis'!$P$16*(1+$A33)))*'ROI and NPV analsyis'!$N$16*'ROI and NPV analsyis'!$P$9*8*260))+'ROI and NPV analsyis'!$E$29*(1+$B$2)^G$4</f>
        <v>31136.590702905014</v>
      </c>
      <c r="H33">
        <f>('ROI and NPV analsyis'!$N$17-(('ROI and NPV analsyis'!$P$8/('ROI and NPV analsyis'!$P$16*(1+$A33)))*'ROI and NPV analsyis'!$N$16*'ROI and NPV analsyis'!$P$9*8*260))+'ROI and NPV analsyis'!$E$29*(1+$B$2)^H$4</f>
        <v>31179.156609934063</v>
      </c>
      <c r="I33">
        <f>('ROI and NPV analsyis'!$N$17-(('ROI and NPV analsyis'!$P$8/('ROI and NPV analsyis'!$P$16*(1+$A33)))*'ROI and NPV analsyis'!$N$16*'ROI and NPV analsyis'!$P$9*8*260))+'ROI and NPV analsyis'!$E$29*(1+$B$2)^I$4</f>
        <v>31222.148176033406</v>
      </c>
      <c r="J33">
        <f>('ROI and NPV analsyis'!$N$17-(('ROI and NPV analsyis'!$P$8/('ROI and NPV analsyis'!$P$16*(1+$A33)))*'ROI and NPV analsyis'!$N$16*'ROI and NPV analsyis'!$P$9*8*260))+'ROI and NPV analsyis'!$E$29*(1+$B$2)^J$4</f>
        <v>31265.569657793741</v>
      </c>
      <c r="K33">
        <f>('ROI and NPV analsyis'!$N$17-(('ROI and NPV analsyis'!$P$8/('ROI and NPV analsyis'!$P$16*(1+$A33)))*'ROI and NPV analsyis'!$N$16*'ROI and NPV analsyis'!$P$9*8*260))+'ROI and NPV analsyis'!$E$29*(1+$B$2)^K$4</f>
        <v>31309.425354371677</v>
      </c>
      <c r="L33">
        <f>('ROI and NPV analsyis'!$N$17-(('ROI and NPV analsyis'!$P$8/('ROI and NPV analsyis'!$P$16*(1+$A33)))*'ROI and NPV analsyis'!$N$16*'ROI and NPV analsyis'!$P$9*8*260))+'ROI and NPV analsyis'!$E$29*(1+$B$2)^L$4</f>
        <v>31353.719607915395</v>
      </c>
    </row>
    <row r="34" spans="1:12">
      <c r="A34" s="14">
        <v>0.3</v>
      </c>
      <c r="C34">
        <f>NPV($B$1,$C$33:C33)-$B$12</f>
        <v>-6219.6821856704664</v>
      </c>
      <c r="D34">
        <f>NPV($B$1,$C$33:D33)-$B$12</f>
        <v>20560.663582239133</v>
      </c>
      <c r="E34">
        <f>NPV($B$1,$C$33:E33)-$B$12</f>
        <v>45480.302195066484</v>
      </c>
      <c r="F34">
        <f>NPV($B$1,$C$33:F33)-$B$12</f>
        <v>68668.783244116072</v>
      </c>
      <c r="G34">
        <f>NPV($B$1,$C$33:G33)-$B$12</f>
        <v>90246.619883633975</v>
      </c>
      <c r="H34">
        <f>NPV($B$1,$C$33:H33)-$B$12</f>
        <v>110325.92018860628</v>
      </c>
      <c r="I34">
        <f>NPV($B$1,$C$33:I33)-$B$12</f>
        <v>129010.97433597766</v>
      </c>
      <c r="J34">
        <f>NPV($B$1,$C$33:J33)-$B$12</f>
        <v>146398.8007043924</v>
      </c>
      <c r="K34">
        <f>NPV($B$1,$C$33:K33)-$B$12</f>
        <v>162579.65377045984</v>
      </c>
      <c r="L34">
        <f>NPV($B$1,$C$33:L33)-$B$12</f>
        <v>177637.49647769029</v>
      </c>
    </row>
  </sheetData>
  <sheetProtection algorithmName="SHA-512" hashValue="3zJZMfDQTz+wwfEDx+2Jul81fNPAJl/JPyf1/LSm5Un2R/Wj15nGZ4dYqFtR51Xi8sutIBp1v/9Ebbs2XUZrhA==" saltValue="8d82P197FAaiPu6hmGaz6g==" spinCount="100000" sheet="1" objects="1" scenarios="1" selectLockedCells="1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40C3-3244-4052-80C5-970502F1A169}">
  <sheetPr codeName="Sheet2"/>
  <dimension ref="A1:H10"/>
  <sheetViews>
    <sheetView workbookViewId="0">
      <selection activeCell="H11" sqref="H11"/>
    </sheetView>
  </sheetViews>
  <sheetFormatPr defaultRowHeight="14.5"/>
  <sheetData>
    <row r="1" spans="1:8">
      <c r="A1" t="s">
        <v>0</v>
      </c>
      <c r="B1" t="s">
        <v>4</v>
      </c>
      <c r="C1" t="s">
        <v>2</v>
      </c>
      <c r="D1" t="s">
        <v>6</v>
      </c>
      <c r="F1" t="s">
        <v>8</v>
      </c>
      <c r="H1">
        <v>1</v>
      </c>
    </row>
    <row r="2" spans="1:8">
      <c r="A2" t="s">
        <v>1</v>
      </c>
      <c r="B2" t="s">
        <v>5</v>
      </c>
      <c r="C2" t="s">
        <v>3</v>
      </c>
      <c r="D2" t="s">
        <v>7</v>
      </c>
      <c r="F2" t="s">
        <v>9</v>
      </c>
      <c r="H2">
        <v>2</v>
      </c>
    </row>
    <row r="3" spans="1:8">
      <c r="F3" t="s">
        <v>10</v>
      </c>
      <c r="H3">
        <v>3</v>
      </c>
    </row>
    <row r="4" spans="1:8">
      <c r="H4">
        <v>4</v>
      </c>
    </row>
    <row r="5" spans="1:8">
      <c r="H5">
        <v>5</v>
      </c>
    </row>
    <row r="6" spans="1:8">
      <c r="H6">
        <v>6</v>
      </c>
    </row>
    <row r="7" spans="1:8">
      <c r="H7">
        <v>7</v>
      </c>
    </row>
    <row r="8" spans="1:8">
      <c r="H8">
        <v>8</v>
      </c>
    </row>
    <row r="9" spans="1:8">
      <c r="H9">
        <v>9</v>
      </c>
    </row>
    <row r="10" spans="1:8">
      <c r="H10">
        <v>10</v>
      </c>
    </row>
  </sheetData>
  <sheetProtection algorithmName="SHA-512" hashValue="dcTLUXrUvyk6oj5Mkh4OKxjC+emG7wFlT0Lx0iY8x/9z3y6mUPW6GBPFFk52nXOx1teHuf0HnIXKcADCgSEBvg==" saltValue="mtYtY9CYEW29I/oVJxvgS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ROI and NPV analsyis</vt:lpstr>
      <vt:lpstr>Calculation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Frederique Debecker</dc:creator>
  <cp:lastModifiedBy>Dimitri Saerens</cp:lastModifiedBy>
  <cp:lastPrinted>2020-11-05T14:12:51Z</cp:lastPrinted>
  <dcterms:created xsi:type="dcterms:W3CDTF">2020-03-08T15:13:59Z</dcterms:created>
  <dcterms:modified xsi:type="dcterms:W3CDTF">2025-12-10T13:07:47Z</dcterms:modified>
</cp:coreProperties>
</file>